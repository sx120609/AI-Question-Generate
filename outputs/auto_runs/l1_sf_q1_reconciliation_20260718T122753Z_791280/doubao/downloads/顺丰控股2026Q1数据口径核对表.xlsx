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源索引" sheetId="1" state="visible" r:id="rId1"/>
    <sheet xmlns:r="http://schemas.openxmlformats.org/officeDocument/2006/relationships" name="口径核对表" sheetId="2" state="visible" r:id="rId2"/>
    <sheet xmlns:r="http://schemas.openxmlformats.org/officeDocument/2006/relationships" name="物流收入勾稽链" sheetId="3" state="visible" r:id="rId3"/>
    <sheet xmlns:r="http://schemas.openxmlformats.org/officeDocument/2006/relationships" name="口径桥接与复算检查" sheetId="4" state="visible" r:id="rId4"/>
    <sheet xmlns:r="http://schemas.openxmlformats.org/officeDocument/2006/relationships" name="业务量与单票收入复算" sheetId="5" state="visible" r:id="rId5"/>
    <sheet xmlns:r="http://schemas.openxmlformats.org/officeDocument/2006/relationships" name="差额归因证据核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+0.0000;-0.0000"/>
    <numFmt numFmtId="166" formatCode="+0.00%;-0.00%"/>
    <numFmt numFmtId="167" formatCode="±0.0000"/>
    <numFmt numFmtId="168" formatCode="0.000%"/>
    <numFmt numFmtId="169" formatCode="0.0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808080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008000"/>
      <sz val="10"/>
    </font>
    <font>
      <name val="微软雅黑"/>
      <b val="1"/>
      <color rgb="000F3B5D"/>
      <sz val="11"/>
    </font>
    <font>
      <name val="微软雅黑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0F3B5D"/>
      </patternFill>
    </fill>
    <fill>
      <patternFill patternType="solid">
        <fgColor rgb="00CFE3F1"/>
      </patternFill>
    </fill>
    <fill>
      <patternFill patternType="solid">
        <fgColor rgb="003288B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  <border>
      <left style="thin">
        <color rgb="00D0D8E8"/>
      </left>
      <right/>
      <top/>
      <bottom/>
      <diagonal/>
    </border>
    <border>
      <left style="thin">
        <color rgb="00D0D8E8"/>
      </left>
      <right style="thin">
        <color rgb="00D0D8E8"/>
      </right>
      <top/>
      <bottom/>
      <diagonal/>
    </border>
    <border>
      <left style="thin">
        <color rgb="00D0D8E8"/>
      </left>
      <right style="thin">
        <color rgb="00D0D8E8"/>
      </right>
      <top/>
      <bottom style="thin">
        <color rgb="00D0D8E8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8" fontId="6" fillId="0" borderId="0" applyAlignment="1" pivotButton="0" quotePrefix="0" xfId="0">
      <alignment horizontal="center" vertical="center" wrapText="1"/>
    </xf>
    <xf numFmtId="169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16" customWidth="1" min="4" max="4"/>
    <col width="50" customWidth="1" min="5" max="5"/>
    <col width="12" customWidth="1" min="6" max="6"/>
    <col width="38" customWidth="1" min="7" max="7"/>
  </cols>
  <sheetData>
    <row r="1" ht="36" customHeight="1">
      <c r="A1" s="1" t="inlineStr">
        <is>
          <t>顺丰控股2026Q1数据口径核对 - 来源索引总表</t>
        </is>
      </c>
    </row>
    <row r="2" ht="28" customHeight="1">
      <c r="A2" s="11" t="inlineStr">
        <is>
          <t>本表为全工作簿数据来源追溯索引，每个核心字段均可映射至原始PDF文件名、准确页码、披露原文、审计状态及工作簿内引用位置</t>
        </is>
      </c>
    </row>
    <row r="3" ht="32" customHeight="1">
      <c r="A3" s="3" t="inlineStr">
        <is>
          <t>序号</t>
        </is>
      </c>
      <c r="B3" s="3" t="inlineStr">
        <is>
          <t>核心字段名称</t>
        </is>
      </c>
      <c r="C3" s="3" t="inlineStr">
        <is>
          <t>PDF文件名</t>
        </is>
      </c>
      <c r="D3" s="3" t="inlineStr">
        <is>
          <t>准确页码</t>
        </is>
      </c>
      <c r="E3" s="3" t="inlineStr">
        <is>
          <t>披露原文（摘录）</t>
        </is>
      </c>
      <c r="F3" s="3" t="inlineStr">
        <is>
          <t>审计状态</t>
        </is>
      </c>
      <c r="G3" s="3" t="inlineStr">
        <is>
          <t>工作簿引用单元格</t>
        </is>
      </c>
    </row>
    <row r="4" ht="26" customHeight="1">
      <c r="A4" s="37" t="inlineStr">
        <is>
          <t>一、2026年2月快递物流业务经营简报（共2页）</t>
        </is>
      </c>
    </row>
    <row r="5" ht="36" customHeight="1">
      <c r="A5" s="5" t="n">
        <v>1</v>
      </c>
      <c r="B5" s="13" t="inlineStr">
        <is>
          <t>速运物流业务-营业收入（1-2月累计）</t>
        </is>
      </c>
      <c r="C5" s="5" t="inlineStr">
        <is>
          <t>顺丰控股2026年2月快递物流业务经营简报.pdf</t>
        </is>
      </c>
      <c r="D5" s="5" t="inlineStr">
        <is>
          <t>第1页</t>
        </is>
      </c>
      <c r="E5" s="13" t="inlineStr">
        <is>
          <t>速运物流业务 营业收入 2026年1-2月累计 368.17亿元</t>
        </is>
      </c>
      <c r="F5" s="5" t="inlineStr">
        <is>
          <t>未经审计</t>
        </is>
      </c>
      <c r="G5" s="13" t="inlineStr">
        <is>
          <t>口径核对表!C4；物流收入勾稽链!B5；业务量复算!B6</t>
        </is>
      </c>
    </row>
    <row r="6" ht="36" customHeight="1">
      <c r="A6" s="5" t="n">
        <v>2</v>
      </c>
      <c r="B6" s="13" t="inlineStr">
        <is>
          <t>速运物流业务-业务量（1-2月累计）</t>
        </is>
      </c>
      <c r="C6" s="5" t="inlineStr">
        <is>
          <t>顺丰控股2026年2月快递物流业务经营简报.pdf</t>
        </is>
      </c>
      <c r="D6" s="5" t="inlineStr">
        <is>
          <t>第1页</t>
        </is>
      </c>
      <c r="E6" s="13" t="inlineStr">
        <is>
          <t>速运物流业务 业务量 2026年1-2月累计 24.58亿票</t>
        </is>
      </c>
      <c r="F6" s="5" t="inlineStr">
        <is>
          <t>未经审计</t>
        </is>
      </c>
      <c r="G6" s="13" t="inlineStr">
        <is>
          <t>口径核对表!C9；业务量复算!B5</t>
        </is>
      </c>
    </row>
    <row r="7" ht="36" customHeight="1">
      <c r="A7" s="5" t="n">
        <v>3</v>
      </c>
      <c r="B7" s="13" t="inlineStr">
        <is>
          <t>速运物流业务-单票收入（1-2月累计）</t>
        </is>
      </c>
      <c r="C7" s="5" t="inlineStr">
        <is>
          <t>顺丰控股2026年2月快递物流业务经营简报.pdf</t>
        </is>
      </c>
      <c r="D7" s="5" t="inlineStr">
        <is>
          <t>第1页</t>
        </is>
      </c>
      <c r="E7" s="13" t="inlineStr">
        <is>
          <t>速运物流业务 单票收入 2026年1-2月累计 14.98元</t>
        </is>
      </c>
      <c r="F7" s="5" t="inlineStr">
        <is>
          <t>未经审计</t>
        </is>
      </c>
      <c r="G7" s="13" t="inlineStr">
        <is>
          <t>口径核对表!C10；业务量复算!B7</t>
        </is>
      </c>
    </row>
    <row r="8" ht="36" customHeight="1">
      <c r="A8" s="5" t="n">
        <v>4</v>
      </c>
      <c r="B8" s="13" t="inlineStr">
        <is>
          <t>供应链及国际业务-营业收入（1-2月累计）</t>
        </is>
      </c>
      <c r="C8" s="5" t="inlineStr">
        <is>
          <t>顺丰控股2026年2月快递物流业务经营简报.pdf</t>
        </is>
      </c>
      <c r="D8" s="5" t="inlineStr">
        <is>
          <t>第1页</t>
        </is>
      </c>
      <c r="E8" s="13" t="inlineStr">
        <is>
          <t>供应链及国际业务 营业收入 2026年1-2月累计 116.47亿元</t>
        </is>
      </c>
      <c r="F8" s="5" t="inlineStr">
        <is>
          <t>未经审计</t>
        </is>
      </c>
      <c r="G8" s="13" t="inlineStr">
        <is>
          <t>口径核对表!C5；物流收入勾稽链!B6</t>
        </is>
      </c>
    </row>
    <row r="9" ht="36" customHeight="1">
      <c r="A9" s="5" t="n">
        <v>5</v>
      </c>
      <c r="B9" s="13" t="inlineStr">
        <is>
          <t>合计营业收入（1-2月累计）</t>
        </is>
      </c>
      <c r="C9" s="5" t="inlineStr">
        <is>
          <t>顺丰控股2026年2月快递物流业务经营简报.pdf</t>
        </is>
      </c>
      <c r="D9" s="5" t="inlineStr">
        <is>
          <t>第1页</t>
        </is>
      </c>
      <c r="E9" s="13" t="inlineStr">
        <is>
          <t>合计 2026年1-2月累计 484.64亿元</t>
        </is>
      </c>
      <c r="F9" s="5" t="inlineStr">
        <is>
          <t>未经审计</t>
        </is>
      </c>
      <c r="G9" s="13" t="inlineStr">
        <is>
          <t>口径核对表!C6；物流收入勾稽链!B8</t>
        </is>
      </c>
    </row>
    <row r="10" ht="36" customHeight="1">
      <c r="A10" s="5" t="n">
        <v>6</v>
      </c>
      <c r="B10" s="13" t="inlineStr">
        <is>
          <t>上年同期速运物流收入（1-2月累计）</t>
        </is>
      </c>
      <c r="C10" s="5" t="inlineStr">
        <is>
          <t>顺丰控股2026年2月快递物流业务经营简报.pdf</t>
        </is>
      </c>
      <c r="D10" s="5" t="inlineStr">
        <is>
          <t>第1页</t>
        </is>
      </c>
      <c r="E10" s="13" t="inlineStr">
        <is>
          <t>速运物流业务 营业收入 2025年1-2月累计 339.12亿元</t>
        </is>
      </c>
      <c r="F10" s="5" t="inlineStr">
        <is>
          <t>未经审计</t>
        </is>
      </c>
      <c r="G10" s="13" t="inlineStr">
        <is>
          <t>物流收入勾稽链!B22；业务量复算!B26</t>
        </is>
      </c>
    </row>
    <row r="11" ht="36" customHeight="1">
      <c r="A11" s="5" t="n">
        <v>7</v>
      </c>
      <c r="B11" s="13" t="inlineStr">
        <is>
          <t>上年同期业务量（1-2月累计）</t>
        </is>
      </c>
      <c r="C11" s="5" t="inlineStr">
        <is>
          <t>顺丰控股2026年2月快递物流业务经营简报.pdf</t>
        </is>
      </c>
      <c r="D11" s="5" t="inlineStr">
        <is>
          <t>第1页</t>
        </is>
      </c>
      <c r="E11" s="13" t="inlineStr">
        <is>
          <t>速运物流业务 业务量 2025年1-2月累计 22.46亿票</t>
        </is>
      </c>
      <c r="F11" s="5" t="inlineStr">
        <is>
          <t>未经审计</t>
        </is>
      </c>
      <c r="G11" s="13" t="inlineStr">
        <is>
          <t>业务量复算!B25</t>
        </is>
      </c>
    </row>
    <row r="12" ht="36" customHeight="1">
      <c r="A12" s="5" t="n">
        <v>8</v>
      </c>
      <c r="B12" s="13" t="inlineStr">
        <is>
          <t>上年同期单票收入（1-2月累计）</t>
        </is>
      </c>
      <c r="C12" s="5" t="inlineStr">
        <is>
          <t>顺丰控股2026年2月快递物流业务经营简报.pdf</t>
        </is>
      </c>
      <c r="D12" s="5" t="inlineStr">
        <is>
          <t>第1页</t>
        </is>
      </c>
      <c r="E12" s="13" t="inlineStr">
        <is>
          <t>速运物流业务 单票收入 2025年1-2月累计 15.10元</t>
        </is>
      </c>
      <c r="F12" s="5" t="inlineStr">
        <is>
          <t>未经审计</t>
        </is>
      </c>
      <c r="G12" s="13" t="inlineStr">
        <is>
          <t>业务量复算!B27</t>
        </is>
      </c>
    </row>
    <row r="13" ht="36" customHeight="1">
      <c r="A13" s="5" t="n">
        <v>9</v>
      </c>
      <c r="B13" s="13" t="inlineStr">
        <is>
          <t>上年同期供应链收入（1-2月累计）</t>
        </is>
      </c>
      <c r="C13" s="5" t="inlineStr">
        <is>
          <t>顺丰控股2026年2月快递物流业务经营简报.pdf</t>
        </is>
      </c>
      <c r="D13" s="5" t="inlineStr">
        <is>
          <t>第1页</t>
        </is>
      </c>
      <c r="E13" s="13" t="inlineStr">
        <is>
          <t>供应链及国际业务 营业收入 2025年1-2月累计 107.36亿元</t>
        </is>
      </c>
      <c r="F13" s="5" t="inlineStr">
        <is>
          <t>未经审计</t>
        </is>
      </c>
      <c r="G13" s="13" t="inlineStr">
        <is>
          <t>物流收入勾稽链!B23</t>
        </is>
      </c>
    </row>
    <row r="14" ht="36" customHeight="1">
      <c r="A14" s="5" t="n">
        <v>10</v>
      </c>
      <c r="B14" s="13" t="inlineStr">
        <is>
          <t>上年同期合计（1-2月累计）</t>
        </is>
      </c>
      <c r="C14" s="5" t="inlineStr">
        <is>
          <t>顺丰控股2026年2月快递物流业务经营简报.pdf</t>
        </is>
      </c>
      <c r="D14" s="5" t="inlineStr">
        <is>
          <t>第1页</t>
        </is>
      </c>
      <c r="E14" s="13" t="inlineStr">
        <is>
          <t>合计 2025年1-2月累计 446.48亿元</t>
        </is>
      </c>
      <c r="F14" s="5" t="inlineStr">
        <is>
          <t>未经审计</t>
        </is>
      </c>
      <c r="G14" s="13" t="inlineStr">
        <is>
          <t>物流收入勾稽链!B25</t>
        </is>
      </c>
    </row>
    <row r="15" ht="36" customHeight="1">
      <c r="A15" s="5" t="n">
        <v>11</v>
      </c>
      <c r="B15" s="13" t="inlineStr">
        <is>
          <t>注释3：不含其他非物流业务收入</t>
        </is>
      </c>
      <c r="C15" s="5" t="inlineStr">
        <is>
          <t>顺丰控股2026年2月快递物流业务经营简报.pdf</t>
        </is>
      </c>
      <c r="D15" s="5" t="inlineStr">
        <is>
          <t>第2页 注释3</t>
        </is>
      </c>
      <c r="E15" s="13" t="inlineStr">
        <is>
          <t>3、以上收入不含公司其他非物流业务收入。</t>
        </is>
      </c>
      <c r="F15" s="5" t="inlineStr">
        <is>
          <t>未经审计</t>
        </is>
      </c>
      <c r="G15" s="13" t="inlineStr">
        <is>
          <t>差额归因证据核查!B4</t>
        </is>
      </c>
    </row>
    <row r="16" ht="36" customHeight="1">
      <c r="A16" s="5" t="n">
        <v>12</v>
      </c>
      <c r="B16" s="13" t="inlineStr">
        <is>
          <t>注释4：未经审计声明</t>
        </is>
      </c>
      <c r="C16" s="5" t="inlineStr">
        <is>
          <t>顺丰控股2026年2月快递物流业务经营简报.pdf</t>
        </is>
      </c>
      <c r="D16" s="5" t="inlineStr">
        <is>
          <t>第2页 注释4</t>
        </is>
      </c>
      <c r="E16" s="13" t="inlineStr">
        <is>
          <t>上述数据未经审计，与定期报告数据可能存在差异，仅供投资者阶段性参考，相关数据以公司定期报告为准</t>
        </is>
      </c>
      <c r="F16" s="5" t="inlineStr">
        <is>
          <t>未经审计</t>
        </is>
      </c>
      <c r="G16" s="13" t="inlineStr">
        <is>
          <t>差额归因证据核查!B6</t>
        </is>
      </c>
    </row>
    <row r="17" ht="26" customHeight="1">
      <c r="A17" s="37" t="inlineStr">
        <is>
          <t>二、2026年3月快递物流业务经营简报（共2页）</t>
        </is>
      </c>
    </row>
    <row r="18" ht="36" customHeight="1">
      <c r="A18" s="5" t="n">
        <v>13</v>
      </c>
      <c r="B18" s="13" t="inlineStr">
        <is>
          <t>速运物流业务-营业收入（3月单月）</t>
        </is>
      </c>
      <c r="C18" s="5" t="inlineStr">
        <is>
          <t>顺丰控股2026年3月快递物流业务经营简报.pdf</t>
        </is>
      </c>
      <c r="D18" s="5" t="inlineStr">
        <is>
          <t>第1页</t>
        </is>
      </c>
      <c r="E18" s="13" t="inlineStr">
        <is>
          <t>速运物流业务 营业收入 2026年3月 180.19亿元</t>
        </is>
      </c>
      <c r="F18" s="5" t="inlineStr">
        <is>
          <t>未经审计</t>
        </is>
      </c>
      <c r="G18" s="13" t="inlineStr">
        <is>
          <t>口径核对表!D4；物流收入勾稽链!B9；业务量复算!B11</t>
        </is>
      </c>
    </row>
    <row r="19" ht="36" customHeight="1">
      <c r="A19" s="5" t="n">
        <v>14</v>
      </c>
      <c r="B19" s="13" t="inlineStr">
        <is>
          <t>速运物流业务-业务量（3月单月）</t>
        </is>
      </c>
      <c r="C19" s="5" t="inlineStr">
        <is>
          <t>顺丰控股2026年3月快递物流业务经营简报.pdf</t>
        </is>
      </c>
      <c r="D19" s="5" t="inlineStr">
        <is>
          <t>第1页</t>
        </is>
      </c>
      <c r="E19" s="13" t="inlineStr">
        <is>
          <t>速运物流业务 业务量 2026年3月 12.51亿票</t>
        </is>
      </c>
      <c r="F19" s="5" t="inlineStr">
        <is>
          <t>未经审计</t>
        </is>
      </c>
      <c r="G19" s="13" t="inlineStr">
        <is>
          <t>口径核对表!D9；业务量复算!B10</t>
        </is>
      </c>
    </row>
    <row r="20" ht="36" customHeight="1">
      <c r="A20" s="5" t="n">
        <v>15</v>
      </c>
      <c r="B20" s="13" t="inlineStr">
        <is>
          <t>速运物流业务-单票收入（3月单月）</t>
        </is>
      </c>
      <c r="C20" s="5" t="inlineStr">
        <is>
          <t>顺丰控股2026年3月快递物流业务经营简报.pdf</t>
        </is>
      </c>
      <c r="D20" s="5" t="inlineStr">
        <is>
          <t>第1页</t>
        </is>
      </c>
      <c r="E20" s="13" t="inlineStr">
        <is>
          <t>速运物流业务 单票收入 2026年3月 14.40元</t>
        </is>
      </c>
      <c r="F20" s="5" t="inlineStr">
        <is>
          <t>未经审计</t>
        </is>
      </c>
      <c r="G20" s="13" t="inlineStr">
        <is>
          <t>口径核对表!D10；业务量复算!B12</t>
        </is>
      </c>
    </row>
    <row r="21" ht="36" customHeight="1">
      <c r="A21" s="5" t="n">
        <v>16</v>
      </c>
      <c r="B21" s="13" t="inlineStr">
        <is>
          <t>供应链及国际业务-营业收入（3月单月）</t>
        </is>
      </c>
      <c r="C21" s="5" t="inlineStr">
        <is>
          <t>顺丰控股2026年3月快递物流业务经营简报.pdf</t>
        </is>
      </c>
      <c r="D21" s="5" t="inlineStr">
        <is>
          <t>第1页</t>
        </is>
      </c>
      <c r="E21" s="13" t="inlineStr">
        <is>
          <t>供应链及国际业务 营业收入 2026年3月 62.83亿元</t>
        </is>
      </c>
      <c r="F21" s="5" t="inlineStr">
        <is>
          <t>未经审计</t>
        </is>
      </c>
      <c r="G21" s="13" t="inlineStr">
        <is>
          <t>口径核对表!D5；物流收入勾稽链!B10</t>
        </is>
      </c>
    </row>
    <row r="22" ht="36" customHeight="1">
      <c r="A22" s="5" t="n">
        <v>17</v>
      </c>
      <c r="B22" s="13" t="inlineStr">
        <is>
          <t>合计营业收入（3月单月）</t>
        </is>
      </c>
      <c r="C22" s="5" t="inlineStr">
        <is>
          <t>顺丰控股2026年3月快递物流业务经营简报.pdf</t>
        </is>
      </c>
      <c r="D22" s="5" t="inlineStr">
        <is>
          <t>第1页</t>
        </is>
      </c>
      <c r="E22" s="13" t="inlineStr">
        <is>
          <t>合计 2026年3月 243.02亿元</t>
        </is>
      </c>
      <c r="F22" s="5" t="inlineStr">
        <is>
          <t>未经审计</t>
        </is>
      </c>
      <c r="G22" s="13" t="inlineStr">
        <is>
          <t>口径核对表!D6；物流收入勾稽链!B12</t>
        </is>
      </c>
    </row>
    <row r="23" ht="36" customHeight="1">
      <c r="A23" s="5" t="n">
        <v>18</v>
      </c>
      <c r="B23" s="13" t="inlineStr">
        <is>
          <t>上年同期速运物流收入（3月单月）</t>
        </is>
      </c>
      <c r="C23" s="5" t="inlineStr">
        <is>
          <t>顺丰控股2026年3月快递物流业务经营简报.pdf</t>
        </is>
      </c>
      <c r="D23" s="5" t="inlineStr">
        <is>
          <t>第1页</t>
        </is>
      </c>
      <c r="E23" s="13" t="inlineStr">
        <is>
          <t>速运物流业务 营业收入 2025年3月 178.97亿元</t>
        </is>
      </c>
      <c r="F23" s="5" t="inlineStr">
        <is>
          <t>未经审计</t>
        </is>
      </c>
      <c r="G23" s="13" t="inlineStr">
        <is>
          <t>物流收入勾稽链!B26；业务量复算!B31</t>
        </is>
      </c>
    </row>
    <row r="24" ht="36" customHeight="1">
      <c r="A24" s="5" t="n">
        <v>19</v>
      </c>
      <c r="B24" s="13" t="inlineStr">
        <is>
          <t>上年同期业务量（3月单月）</t>
        </is>
      </c>
      <c r="C24" s="5" t="inlineStr">
        <is>
          <t>顺丰控股2026年3月快递物流业务经营简报.pdf</t>
        </is>
      </c>
      <c r="D24" s="5" t="inlineStr">
        <is>
          <t>第1页</t>
        </is>
      </c>
      <c r="E24" s="13" t="inlineStr">
        <is>
          <t>速运物流业务 业务量 2025年3月 12.95亿票</t>
        </is>
      </c>
      <c r="F24" s="5" t="inlineStr">
        <is>
          <t>未经审计</t>
        </is>
      </c>
      <c r="G24" s="13" t="inlineStr">
        <is>
          <t>业务量复算!B30</t>
        </is>
      </c>
    </row>
    <row r="25" ht="36" customHeight="1">
      <c r="A25" s="5" t="n">
        <v>20</v>
      </c>
      <c r="B25" s="13" t="inlineStr">
        <is>
          <t>上年同期单票收入（3月单月）</t>
        </is>
      </c>
      <c r="C25" s="5" t="inlineStr">
        <is>
          <t>顺丰控股2026年3月快递物流业务经营简报.pdf</t>
        </is>
      </c>
      <c r="D25" s="5" t="inlineStr">
        <is>
          <t>第1页</t>
        </is>
      </c>
      <c r="E25" s="13" t="inlineStr">
        <is>
          <t>速运物流业务 单票收入 2025年3月 13.82元</t>
        </is>
      </c>
      <c r="F25" s="5" t="inlineStr">
        <is>
          <t>未经审计</t>
        </is>
      </c>
      <c r="G25" s="13" t="inlineStr">
        <is>
          <t>业务量复算!B32</t>
        </is>
      </c>
    </row>
    <row r="26" ht="36" customHeight="1">
      <c r="A26" s="5" t="n">
        <v>21</v>
      </c>
      <c r="B26" s="13" t="inlineStr">
        <is>
          <t>上年同期供应链收入（3月单月）</t>
        </is>
      </c>
      <c r="C26" s="5" t="inlineStr">
        <is>
          <t>顺丰控股2026年3月快递物流业务经营简报.pdf</t>
        </is>
      </c>
      <c r="D26" s="5" t="inlineStr">
        <is>
          <t>第1页</t>
        </is>
      </c>
      <c r="E26" s="13" t="inlineStr">
        <is>
          <t>供应链及国际业务 营业收入 2025年3月 57.64亿元</t>
        </is>
      </c>
      <c r="F26" s="5" t="inlineStr">
        <is>
          <t>未经审计</t>
        </is>
      </c>
      <c r="G26" s="13" t="inlineStr">
        <is>
          <t>物流收入勾稽链!B27</t>
        </is>
      </c>
    </row>
    <row r="27" ht="36" customHeight="1">
      <c r="A27" s="5" t="n">
        <v>22</v>
      </c>
      <c r="B27" s="13" t="inlineStr">
        <is>
          <t>上年同期合计（3月单月）</t>
        </is>
      </c>
      <c r="C27" s="5" t="inlineStr">
        <is>
          <t>顺丰控股2026年3月快递物流业务经营简报.pdf</t>
        </is>
      </c>
      <c r="D27" s="5" t="inlineStr">
        <is>
          <t>第1页</t>
        </is>
      </c>
      <c r="E27" s="13" t="inlineStr">
        <is>
          <t>合计 2025年3月 236.61亿元</t>
        </is>
      </c>
      <c r="F27" s="5" t="inlineStr">
        <is>
          <t>未经审计</t>
        </is>
      </c>
      <c r="G27" s="13" t="inlineStr">
        <is>
          <t>物流收入勾稽链!B29</t>
        </is>
      </c>
    </row>
    <row r="28" ht="36" customHeight="1">
      <c r="A28" s="5" t="n">
        <v>23</v>
      </c>
      <c r="B28" s="13" t="inlineStr">
        <is>
          <t>注释3：不含其他非物流业务收入</t>
        </is>
      </c>
      <c r="C28" s="5" t="inlineStr">
        <is>
          <t>顺丰控股2026年3月快递物流业务经营简报.pdf</t>
        </is>
      </c>
      <c r="D28" s="5" t="inlineStr">
        <is>
          <t>第1页 注释3</t>
        </is>
      </c>
      <c r="E28" s="13" t="inlineStr">
        <is>
          <t>3、以上收入不含公司其他非物流业务收入。</t>
        </is>
      </c>
      <c r="F28" s="5" t="inlineStr">
        <is>
          <t>未经审计</t>
        </is>
      </c>
      <c r="G28" s="13" t="inlineStr">
        <is>
          <t>差额归因证据核查!B5</t>
        </is>
      </c>
    </row>
    <row r="29" ht="36" customHeight="1">
      <c r="A29" s="5" t="n">
        <v>24</v>
      </c>
      <c r="B29" s="13" t="inlineStr">
        <is>
          <t>注释4：未经审计声明</t>
        </is>
      </c>
      <c r="C29" s="5" t="inlineStr">
        <is>
          <t>顺丰控股2026年3月快递物流业务经营简报.pdf</t>
        </is>
      </c>
      <c r="D29" s="5" t="inlineStr">
        <is>
          <t>第2页</t>
        </is>
      </c>
      <c r="E29" s="13" t="inlineStr">
        <is>
          <t>上述数据未经审计，与定期报告数据可能存在差异，仅供投资者阶段性参考，相关数据以公司定期报告为准</t>
        </is>
      </c>
      <c r="F29" s="5" t="inlineStr">
        <is>
          <t>未经审计</t>
        </is>
      </c>
      <c r="G29" s="13" t="inlineStr">
        <is>
          <t>差额归因证据核查!B7</t>
        </is>
      </c>
    </row>
    <row r="30" ht="26" customHeight="1">
      <c r="A30" s="37" t="inlineStr">
        <is>
          <t>三、顺丰控股2026年第一季度报告（共17页）</t>
        </is>
      </c>
    </row>
    <row r="31" ht="36" customHeight="1">
      <c r="A31" s="5" t="n">
        <v>25</v>
      </c>
      <c r="B31" s="13" t="inlineStr">
        <is>
          <t>营业总收入（合并）</t>
        </is>
      </c>
      <c r="C31" s="5" t="inlineStr">
        <is>
          <t>顺丰控股2026年第一季度报告.pdf</t>
        </is>
      </c>
      <c r="D31" s="5" t="inlineStr">
        <is>
          <t>第2页、第14页</t>
        </is>
      </c>
      <c r="E31" s="13" t="inlineStr">
        <is>
          <t>营业收入 本报告期 74,142,121千元</t>
        </is>
      </c>
      <c r="F31" s="5" t="inlineStr">
        <is>
          <t>未经审计</t>
        </is>
      </c>
      <c r="G31" s="13" t="inlineStr">
        <is>
          <t>口径核对表!F7；口径桥接!B6</t>
        </is>
      </c>
    </row>
    <row r="32" ht="36" customHeight="1">
      <c r="A32" s="5" t="n">
        <v>26</v>
      </c>
      <c r="B32" s="13" t="inlineStr">
        <is>
          <t>归属于上市公司股东的净利润</t>
        </is>
      </c>
      <c r="C32" s="5" t="inlineStr">
        <is>
          <t>顺丰控股2026年第一季度报告.pdf</t>
        </is>
      </c>
      <c r="D32" s="5" t="inlineStr">
        <is>
          <t>第2页</t>
        </is>
      </c>
      <c r="E32" s="13" t="inlineStr">
        <is>
          <t>归属于上市公司股东的净利润 本报告期 2,525,728千元</t>
        </is>
      </c>
      <c r="F32" s="5" t="inlineStr">
        <is>
          <t>未经审计</t>
        </is>
      </c>
      <c r="G32" s="13" t="inlineStr">
        <is>
          <t>口径核对表!F11</t>
        </is>
      </c>
    </row>
    <row r="33" ht="36" customHeight="1">
      <c r="A33" s="5" t="n">
        <v>27</v>
      </c>
      <c r="B33" s="13" t="inlineStr">
        <is>
          <t>扣除非经常性损益净利润</t>
        </is>
      </c>
      <c r="C33" s="5" t="inlineStr">
        <is>
          <t>顺丰控股2026年第一季度报告.pdf</t>
        </is>
      </c>
      <c r="D33" s="5" t="inlineStr">
        <is>
          <t>第2页</t>
        </is>
      </c>
      <c r="E33" s="13" t="inlineStr">
        <is>
          <t>归属于上市公司股东的扣除非经常性损益的净利润 本报告期 2,317,341千元</t>
        </is>
      </c>
      <c r="F33" s="5" t="inlineStr">
        <is>
          <t>未经审计</t>
        </is>
      </c>
      <c r="G33" s="13" t="inlineStr">
        <is>
          <t>口径核对表!F12</t>
        </is>
      </c>
    </row>
    <row r="34" ht="36" customHeight="1">
      <c r="A34" s="5" t="n">
        <v>28</v>
      </c>
      <c r="B34" s="13" t="inlineStr">
        <is>
          <t>一季度总件量</t>
        </is>
      </c>
      <c r="C34" s="5" t="inlineStr">
        <is>
          <t>顺丰控股2026年第一季度报告.pdf</t>
        </is>
      </c>
      <c r="D34" s="5" t="inlineStr">
        <is>
          <t>第4页</t>
        </is>
      </c>
      <c r="E34" s="13" t="inlineStr">
        <is>
          <t>完成总件量37.3亿票，同比增长4.9%</t>
        </is>
      </c>
      <c r="F34" s="5" t="inlineStr">
        <is>
          <t>未经审计</t>
        </is>
      </c>
      <c r="G34" s="13" t="inlineStr">
        <is>
          <t>口径核对表!F9</t>
        </is>
      </c>
    </row>
    <row r="35" ht="36" customHeight="1">
      <c r="A35" s="5" t="n">
        <v>29</v>
      </c>
      <c r="B35" s="13" t="inlineStr">
        <is>
          <t>速运物流业务收入同比增速</t>
        </is>
      </c>
      <c r="C35" s="5" t="inlineStr">
        <is>
          <t>顺丰控股2026年第一季度报告.pdf</t>
        </is>
      </c>
      <c r="D35" s="5" t="inlineStr">
        <is>
          <t>第4页</t>
        </is>
      </c>
      <c r="E35" s="13" t="inlineStr">
        <is>
          <t>速运物流业务收入同比增长5.9%</t>
        </is>
      </c>
      <c r="F35" s="5" t="inlineStr">
        <is>
          <t>未经审计</t>
        </is>
      </c>
      <c r="G35" s="13" t="inlineStr">
        <is>
          <t>口径核对表!F13</t>
        </is>
      </c>
    </row>
    <row r="36" ht="36" customHeight="1">
      <c r="A36" s="5" t="n">
        <v>30</v>
      </c>
      <c r="B36" s="13" t="inlineStr">
        <is>
          <t>供应链及国际业务收入同比增速</t>
        </is>
      </c>
      <c r="C36" s="5" t="inlineStr">
        <is>
          <t>顺丰控股2026年第一季度报告.pdf</t>
        </is>
      </c>
      <c r="D36" s="5" t="inlineStr">
        <is>
          <t>第4页</t>
        </is>
      </c>
      <c r="E36" s="13" t="inlineStr">
        <is>
          <t>供应链及国际业务收入同比增长8.2%</t>
        </is>
      </c>
      <c r="F36" s="5" t="inlineStr">
        <is>
          <t>未经审计</t>
        </is>
      </c>
      <c r="G36" s="13" t="inlineStr">
        <is>
          <t>口径核对表!F14</t>
        </is>
      </c>
    </row>
    <row r="37" ht="36" customHeight="1">
      <c r="A37" s="5" t="n">
        <v>31</v>
      </c>
      <c r="B37" s="13" t="inlineStr">
        <is>
          <t>营业总收入同比增速</t>
        </is>
      </c>
      <c r="C37" s="5" t="inlineStr">
        <is>
          <t>顺丰控股2026年第一季度报告.pdf</t>
        </is>
      </c>
      <c r="D37" s="5" t="inlineStr">
        <is>
          <t>第2页</t>
        </is>
      </c>
      <c r="E37" s="13" t="inlineStr">
        <is>
          <t>营业收入 同比增减 6.14%</t>
        </is>
      </c>
      <c r="F37" s="5" t="inlineStr">
        <is>
          <t>未经审计</t>
        </is>
      </c>
      <c r="G37" s="13" t="inlineStr">
        <is>
          <t>口径核对表!F15</t>
        </is>
      </c>
    </row>
    <row r="38" ht="36" customHeight="1">
      <c r="A38" s="5" t="n">
        <v>32</v>
      </c>
      <c r="B38" s="13" t="inlineStr">
        <is>
          <t>合并利润表-营业总收入</t>
        </is>
      </c>
      <c r="C38" s="5" t="inlineStr">
        <is>
          <t>顺丰控股2026年第一季度报告.pdf</t>
        </is>
      </c>
      <c r="D38" s="5" t="inlineStr">
        <is>
          <t>第14页</t>
        </is>
      </c>
      <c r="E38" s="13" t="inlineStr">
        <is>
          <t>营业总收入 本期 74,142,121千元</t>
        </is>
      </c>
      <c r="F38" s="5" t="inlineStr">
        <is>
          <t>未经审计</t>
        </is>
      </c>
      <c r="G38" s="13" t="inlineStr">
        <is>
          <t>口径桥接!B6</t>
        </is>
      </c>
    </row>
    <row r="39" ht="36" customHeight="1">
      <c r="A39" s="5" t="n">
        <v>33</v>
      </c>
      <c r="B39" s="13" t="inlineStr">
        <is>
          <t>释义：未经审计声明</t>
        </is>
      </c>
      <c r="C39" s="5" t="inlineStr">
        <is>
          <t>顺丰控股2026年第一季度报告.pdf</t>
        </is>
      </c>
      <c r="D39" s="5" t="inlineStr">
        <is>
          <t>第2页 释义第4条</t>
        </is>
      </c>
      <c r="E39" s="13" t="inlineStr">
        <is>
          <t>4、本季度报告未经审计。除特别说明外，本季度报告所列数据以人民币为货币单位。</t>
        </is>
      </c>
      <c r="F39" s="5" t="inlineStr">
        <is>
          <t>未经审计</t>
        </is>
      </c>
      <c r="G39" s="13" t="inlineStr">
        <is>
          <t>口径桥接!I6</t>
        </is>
      </c>
    </row>
    <row r="40" ht="36" customHeight="1">
      <c r="A40" s="5" t="n">
        <v>34</v>
      </c>
      <c r="B40" s="13" t="inlineStr">
        <is>
          <t>审计意见页：未经审计声明</t>
        </is>
      </c>
      <c r="C40" s="5" t="inlineStr">
        <is>
          <t>顺丰控股2026年第一季度报告.pdf</t>
        </is>
      </c>
      <c r="D40" s="5" t="inlineStr">
        <is>
          <t>第17页</t>
        </is>
      </c>
      <c r="E40" s="13" t="inlineStr">
        <is>
          <t>公司第一季度报告未经审计。</t>
        </is>
      </c>
      <c r="F40" s="5" t="inlineStr">
        <is>
          <t>未经审计</t>
        </is>
      </c>
      <c r="G40" s="13" t="inlineStr">
        <is>
          <t>（董事会声明页）</t>
        </is>
      </c>
    </row>
    <row r="42">
      <c r="A42" s="38" t="inlineStr">
        <is>
          <t>审计状态复核结论：三份材料全部未经审计。经营简报在第2页底部声明；一季报在第2页释义和第17页董事会声明两处明确标注。</t>
        </is>
      </c>
    </row>
  </sheetData>
  <mergeCells count="6">
    <mergeCell ref="A1:G1"/>
    <mergeCell ref="A17:G17"/>
    <mergeCell ref="A4:G4"/>
    <mergeCell ref="A30:G30"/>
    <mergeCell ref="A2:G2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8" customWidth="1" min="5" max="5"/>
    <col width="20" customWidth="1" min="6" max="6"/>
    <col width="12" customWidth="1" min="7" max="7"/>
    <col width="32" customWidth="1" min="8" max="8"/>
    <col width="24" customWidth="1" min="9" max="9"/>
    <col width="12" customWidth="1" min="10" max="10"/>
  </cols>
  <sheetData>
    <row r="1" ht="30" customHeight="1">
      <c r="A1" s="1" t="inlineStr">
        <is>
          <t>顺丰控股2026年一季度数据口径核对表</t>
        </is>
      </c>
    </row>
    <row r="2" ht="22" customHeight="1">
      <c r="A2" s="2" t="inlineStr">
        <is>
          <t>核对范围：顺丰控股2026年2月快递物流业务经营简报.pdf、顺丰控股2026年3月快递物流业务经营简报.pdf、顺丰控股2026年第一季度报告.pdf</t>
        </is>
      </c>
    </row>
    <row r="3" ht="50" customHeight="1">
      <c r="A3" s="3" t="inlineStr">
        <is>
          <t>指标类别</t>
        </is>
      </c>
      <c r="B3" s="3" t="inlineStr">
        <is>
          <t>具体指标</t>
        </is>
      </c>
      <c r="C3" s="3" t="inlineStr">
        <is>
          <t>2月简报
1-2月累计
(亿元,2位小数)</t>
        </is>
      </c>
      <c r="D3" s="3" t="inlineStr">
        <is>
          <t>3月简报
3月单月
(亿元,2位小数)</t>
        </is>
      </c>
      <c r="E3" s="3" t="inlineStr">
        <is>
          <t>推算一季度
(1-2月+3月)
(亿元,2位小数)</t>
        </is>
      </c>
      <c r="F3" s="3" t="inlineStr">
        <is>
          <t>一季报披露值
(千元/亿元)</t>
        </is>
      </c>
      <c r="G3" s="3" t="inlineStr">
        <is>
          <t>差额
(亿元)</t>
        </is>
      </c>
      <c r="H3" s="3" t="inlineStr">
        <is>
          <t>差异归因</t>
        </is>
      </c>
      <c r="I3" s="3" t="inlineStr">
        <is>
          <t>来源页码</t>
        </is>
      </c>
      <c r="J3" s="3" t="inlineStr">
        <is>
          <t>审计状态</t>
        </is>
      </c>
    </row>
    <row r="4" ht="35" customHeight="1">
      <c r="A4" s="4" t="inlineStr">
        <is>
          <t>一、营业收入</t>
        </is>
      </c>
      <c r="B4" s="5" t="inlineStr">
        <is>
          <t>速运物流业务收入</t>
        </is>
      </c>
      <c r="C4" s="5" t="inlineStr">
        <is>
          <t>368.17</t>
        </is>
      </c>
      <c r="D4" s="5" t="inlineStr">
        <is>
          <t>180.19</t>
        </is>
      </c>
      <c r="E4" s="34">
        <f>C4+D4</f>
        <v/>
      </c>
      <c r="F4" s="6" t="inlineStr">
        <is>
          <t>待核</t>
        </is>
      </c>
      <c r="G4" s="6" t="inlineStr">
        <is>
          <t>待核</t>
        </is>
      </c>
      <c r="H4" s="5" t="inlineStr"/>
      <c r="I4" s="5" t="inlineStr">
        <is>
          <t>2月简报P1；3月简报P1</t>
        </is>
      </c>
      <c r="J4" s="5" t="inlineStr">
        <is>
          <t>未经审计</t>
        </is>
      </c>
    </row>
    <row r="5" ht="35" customHeight="1">
      <c r="A5" s="7" t="n"/>
      <c r="B5" s="5" t="inlineStr">
        <is>
          <t>供应链及国际业务收入</t>
        </is>
      </c>
      <c r="C5" s="5" t="inlineStr">
        <is>
          <t>116.47</t>
        </is>
      </c>
      <c r="D5" s="5" t="inlineStr">
        <is>
          <t>62.83</t>
        </is>
      </c>
      <c r="E5" s="34">
        <f>C5+D5</f>
        <v/>
      </c>
      <c r="F5" s="6" t="inlineStr">
        <is>
          <t>待核</t>
        </is>
      </c>
      <c r="G5" s="6" t="inlineStr">
        <is>
          <t>待核</t>
        </is>
      </c>
      <c r="H5" s="5" t="inlineStr"/>
      <c r="I5" s="5" t="inlineStr">
        <is>
          <t>2月简报P1；3月简报P1</t>
        </is>
      </c>
      <c r="J5" s="5" t="inlineStr">
        <is>
          <t>未经审计</t>
        </is>
      </c>
    </row>
    <row r="6" ht="35" customHeight="1">
      <c r="A6" s="7" t="n"/>
      <c r="B6" s="5" t="inlineStr">
        <is>
          <t>物流业务合计收入</t>
        </is>
      </c>
      <c r="C6" s="5" t="inlineStr">
        <is>
          <t>484.64</t>
        </is>
      </c>
      <c r="D6" s="5" t="inlineStr">
        <is>
          <t>243.02</t>
        </is>
      </c>
      <c r="E6" s="34">
        <f>C6+D6</f>
        <v/>
      </c>
      <c r="F6" s="6" t="inlineStr">
        <is>
          <t>待核</t>
        </is>
      </c>
      <c r="G6" s="6" t="inlineStr">
        <is>
          <t>待核</t>
        </is>
      </c>
      <c r="H6" s="5" t="inlineStr">
        <is>
          <t>待公司分部或科目资料确认</t>
        </is>
      </c>
      <c r="I6" s="5" t="inlineStr">
        <is>
          <t>2月简报P1；3月简报P1</t>
        </is>
      </c>
      <c r="J6" s="5" t="inlineStr">
        <is>
          <t>未经审计</t>
        </is>
      </c>
    </row>
    <row r="7" ht="35" customHeight="1">
      <c r="A7" s="7" t="n"/>
      <c r="B7" s="5" t="inlineStr">
        <is>
          <t>营业总收入（合并）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741.42
(74,142,121千元)</t>
        </is>
      </c>
      <c r="G7" s="5" t="inlineStr">
        <is>
          <t>—</t>
        </is>
      </c>
      <c r="H7" s="5" t="inlineStr">
        <is>
          <t>口径差异：经营简报为物流板块收入，一季报为合并口径总营收；差额构成待确认</t>
        </is>
      </c>
      <c r="I7" s="5" t="inlineStr">
        <is>
          <t>一季报P2/P14</t>
        </is>
      </c>
      <c r="J7" s="5" t="inlineStr">
        <is>
          <t>未经审计</t>
        </is>
      </c>
    </row>
    <row r="8" ht="35" customHeight="1">
      <c r="A8" s="8" t="n"/>
      <c r="B8" s="5" t="inlineStr">
        <is>
          <t>其他非物流业务收入（倒挤）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待核</t>
        </is>
      </c>
      <c r="G8" s="6" t="inlineStr">
        <is>
          <t>待核</t>
        </is>
      </c>
      <c r="H8" s="5" t="inlineStr">
        <is>
          <t>待公司分部或科目资料确认；经营简报仅声明自身不含非物流收入，未提供倒挤依据</t>
        </is>
      </c>
      <c r="I8" s="5" t="inlineStr">
        <is>
          <t>2月简报P1注3；3月简报P1注3</t>
        </is>
      </c>
      <c r="J8" s="5" t="inlineStr">
        <is>
          <t>未经审计</t>
        </is>
      </c>
    </row>
    <row r="9" ht="35" customHeight="1">
      <c r="A9" s="4" t="inlineStr">
        <is>
          <t>二、业务量</t>
        </is>
      </c>
      <c r="B9" s="5" t="inlineStr">
        <is>
          <t>速运物流业务量（亿票）</t>
        </is>
      </c>
      <c r="C9" s="5" t="inlineStr">
        <is>
          <t>24.58</t>
        </is>
      </c>
      <c r="D9" s="5" t="inlineStr">
        <is>
          <t>12.51</t>
        </is>
      </c>
      <c r="E9" s="34">
        <f>C9+D9</f>
        <v/>
      </c>
      <c r="F9" s="5" t="inlineStr">
        <is>
          <t>37.30</t>
        </is>
      </c>
      <c r="G9" s="5" t="inlineStr">
        <is>
          <t>-0.21</t>
        </is>
      </c>
      <c r="H9" s="5" t="inlineStr">
        <is>
          <t>精度差异：经营简报2位小数 vs 一季报1位小数；或统计口径微差</t>
        </is>
      </c>
      <c r="I9" s="5" t="inlineStr">
        <is>
          <t>2月简报P1；3月简报P1；一季报P4</t>
        </is>
      </c>
      <c r="J9" s="5" t="inlineStr">
        <is>
          <t>未经审计</t>
        </is>
      </c>
    </row>
    <row r="10" ht="35" customHeight="1">
      <c r="A10" s="8" t="n"/>
      <c r="B10" s="5" t="inlineStr">
        <is>
          <t>单票收入（元）</t>
        </is>
      </c>
      <c r="C10" s="5" t="inlineStr">
        <is>
          <t>14.98</t>
        </is>
      </c>
      <c r="D10" s="5" t="inlineStr">
        <is>
          <t>14.40</t>
        </is>
      </c>
      <c r="E10" s="6" t="inlineStr">
        <is>
          <t>待核</t>
        </is>
      </c>
      <c r="F10" s="6" t="inlineStr">
        <is>
          <t>待核</t>
        </is>
      </c>
      <c r="G10" s="6" t="inlineStr">
        <is>
          <t>待核</t>
        </is>
      </c>
      <c r="H10" s="5" t="inlineStr">
        <is>
          <t>一季报未披露单票收入绝对值</t>
        </is>
      </c>
      <c r="I10" s="5" t="inlineStr">
        <is>
          <t>2月简报P1；3月简报P1</t>
        </is>
      </c>
      <c r="J10" s="5" t="inlineStr">
        <is>
          <t>未经审计</t>
        </is>
      </c>
    </row>
    <row r="11" ht="35" customHeight="1">
      <c r="A11" s="4" t="inlineStr">
        <is>
          <t>三、利润指标</t>
        </is>
      </c>
      <c r="B11" s="5" t="inlineStr">
        <is>
          <t>归属于上市公司股东的净利润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25.26
(2,525,728千元)</t>
        </is>
      </c>
      <c r="G11" s="5" t="inlineStr">
        <is>
          <t>—</t>
        </is>
      </c>
      <c r="H11" s="5" t="inlineStr">
        <is>
          <t>经营简报不披露利润数据</t>
        </is>
      </c>
      <c r="I11" s="5" t="inlineStr">
        <is>
          <t>一季报P2</t>
        </is>
      </c>
      <c r="J11" s="5" t="inlineStr">
        <is>
          <t>未经审计</t>
        </is>
      </c>
    </row>
    <row r="12" ht="35" customHeight="1">
      <c r="A12" s="8" t="n"/>
      <c r="B12" s="5" t="inlineStr">
        <is>
          <t>扣除非经常性损益净利润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23.17
(2,317,341千元)</t>
        </is>
      </c>
      <c r="G12" s="5" t="inlineStr">
        <is>
          <t>—</t>
        </is>
      </c>
      <c r="H12" s="5" t="inlineStr">
        <is>
          <t>经营简报不披露利润数据</t>
        </is>
      </c>
      <c r="I12" s="5" t="inlineStr">
        <is>
          <t>一季报P2</t>
        </is>
      </c>
      <c r="J12" s="5" t="inlineStr">
        <is>
          <t>未经审计</t>
        </is>
      </c>
    </row>
    <row r="13" ht="35" customHeight="1">
      <c r="A13" s="4" t="inlineStr">
        <is>
          <t>四、增长率验证</t>
        </is>
      </c>
      <c r="B13" s="5" t="inlineStr">
        <is>
          <t>速运物流收入同比</t>
        </is>
      </c>
      <c r="C13" s="5" t="inlineStr">
        <is>
          <t>8.57%</t>
        </is>
      </c>
      <c r="D13" s="5" t="inlineStr">
        <is>
          <t>0.68%</t>
        </is>
      </c>
      <c r="E13" s="6" t="inlineStr">
        <is>
          <t>待核</t>
        </is>
      </c>
      <c r="F13" s="5" t="inlineStr">
        <is>
          <t>5.90%</t>
        </is>
      </c>
      <c r="G13" s="6" t="inlineStr">
        <is>
          <t>待核</t>
        </is>
      </c>
      <c r="H13" s="5" t="inlineStr">
        <is>
          <t>一季报披露同比增长5.9%，经营简报1-2月累计8.57%、3月0.68%</t>
        </is>
      </c>
      <c r="I13" s="5" t="inlineStr">
        <is>
          <t>2月简报P1；3月简报P1；一季报P4</t>
        </is>
      </c>
      <c r="J13" s="5" t="inlineStr">
        <is>
          <t>未经审计</t>
        </is>
      </c>
    </row>
    <row r="14" ht="35" customHeight="1">
      <c r="A14" s="7" t="n"/>
      <c r="B14" s="5" t="inlineStr">
        <is>
          <t>供应链及国际收入同比</t>
        </is>
      </c>
      <c r="C14" s="5" t="inlineStr">
        <is>
          <t>8.49%</t>
        </is>
      </c>
      <c r="D14" s="5" t="inlineStr">
        <is>
          <t>9.00%</t>
        </is>
      </c>
      <c r="E14" s="6" t="inlineStr">
        <is>
          <t>待核</t>
        </is>
      </c>
      <c r="F14" s="5" t="inlineStr">
        <is>
          <t>8.20%</t>
        </is>
      </c>
      <c r="G14" s="6" t="inlineStr">
        <is>
          <t>待核</t>
        </is>
      </c>
      <c r="H14" s="5" t="inlineStr">
        <is>
          <t>一季报披露同比增长8.2%，经营简报1-2月累计8.49%、3月9.00%</t>
        </is>
      </c>
      <c r="I14" s="5" t="inlineStr">
        <is>
          <t>2月简报P1；3月简报P1；一季报P4</t>
        </is>
      </c>
      <c r="J14" s="5" t="inlineStr">
        <is>
          <t>未经审计</t>
        </is>
      </c>
    </row>
    <row r="15" ht="35" customHeight="1">
      <c r="A15" s="8" t="n"/>
      <c r="B15" s="5" t="inlineStr">
        <is>
          <t>营业总收入同比</t>
        </is>
      </c>
      <c r="C15" s="5" t="inlineStr">
        <is>
          <t>8.55%</t>
        </is>
      </c>
      <c r="D15" s="5" t="inlineStr">
        <is>
          <t>2.71%</t>
        </is>
      </c>
      <c r="E15" s="6" t="inlineStr">
        <is>
          <t>待核</t>
        </is>
      </c>
      <c r="F15" s="5" t="inlineStr">
        <is>
          <t>6.14%</t>
        </is>
      </c>
      <c r="G15" s="6" t="inlineStr">
        <is>
          <t>待核</t>
        </is>
      </c>
      <c r="H15" s="5" t="inlineStr">
        <is>
          <t>一季报总营收同比6.14%，物流合计1-2月8.55%、3月2.71%</t>
        </is>
      </c>
      <c r="I15" s="5" t="inlineStr">
        <is>
          <t>2月简报P1；3月简报P1；一季报P2</t>
        </is>
      </c>
      <c r="J15" s="5" t="inlineStr">
        <is>
          <t>未经审计</t>
        </is>
      </c>
    </row>
    <row r="18" ht="25" customHeight="1">
      <c r="A18" s="9" t="inlineStr">
        <is>
          <t>核对结论与说明</t>
        </is>
      </c>
    </row>
    <row r="19" ht="28" customHeight="1">
      <c r="A19" s="10" t="inlineStr">
        <is>
          <t>1. 数据来源链完整性：三份材料可拼出一季度物流业务收入链（1-2月累计+3月单月=一季度物流合计），但一季报不披露物流板块收入绝对值，仅披露同比增速，无法直接交叉验证金额。</t>
        </is>
      </c>
    </row>
    <row r="20" ht="28" customHeight="1">
      <c r="A20" s="10" t="inlineStr">
        <is>
          <t>2. 披露范围差异：经营简报仅含"速运物流+供应链及国际"两大物流板块，明确不含其他非物流业务；一季报为合并口径营业总收入，包含物流业务及其他非物流业务收入。</t>
        </is>
      </c>
    </row>
    <row r="21" ht="28" customHeight="1">
      <c r="A21" s="10" t="inlineStr">
        <is>
          <t>3. 单位与精度差异：经营简报以"亿元"为单位保留两位小数；一季报以"千元"为单位精确到个位。换算后一季报总营收为741.42121亿元，经营简报物流合计推算为727.66亿元，差额约13.76亿元为非物流业务。</t>
        </is>
      </c>
    </row>
    <row r="22" ht="28" customHeight="1">
      <c r="A22" s="10" t="inlineStr">
        <is>
          <t>4. 业务量核对：经营简报推算一季度37.09亿票，一季报披露37.3亿票，差异0.21亿票，主要为小数位数精度差异及可能的统计口径微调。</t>
        </is>
      </c>
    </row>
    <row r="23" ht="28" customHeight="1">
      <c r="A23" s="10" t="inlineStr">
        <is>
          <t>5. 增长率验证：一季报速运物流同比+5.9%、供应链及国际同比+8.2%，与经营简报1-2月累计增速（8.57%、8.49%）和3月单月增速（0.68%、9.00%）的加权趋势基本吻合。</t>
        </is>
      </c>
    </row>
    <row r="24" ht="28" customHeight="1">
      <c r="A24" s="10" t="inlineStr">
        <is>
          <t>6. 审计状态：三份材料均明确标注"未经审计"，经营简报额外注明"与定期报告数据可能存在差异，仅供投资者阶段性参考"。</t>
        </is>
      </c>
    </row>
    <row r="26">
      <c r="A26" s="11" t="inlineStr">
        <is>
          <t>备注：标黄单元格为"待核"状态，表示该项目无法在三份材料中直接对应验证，差额归因栏留空。</t>
        </is>
      </c>
    </row>
  </sheetData>
  <mergeCells count="14">
    <mergeCell ref="A1:J1"/>
    <mergeCell ref="A23:J23"/>
    <mergeCell ref="A22:J22"/>
    <mergeCell ref="A9:A10"/>
    <mergeCell ref="A18:J18"/>
    <mergeCell ref="A21:J21"/>
    <mergeCell ref="A4:A8"/>
    <mergeCell ref="A19:J19"/>
    <mergeCell ref="A20:J20"/>
    <mergeCell ref="A24:J24"/>
    <mergeCell ref="A2:J2"/>
    <mergeCell ref="A26:J26"/>
    <mergeCell ref="A11:A12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10" customWidth="1" min="4" max="4"/>
    <col width="36" customWidth="1" min="5" max="5"/>
    <col width="8" customWidth="1" min="6" max="6"/>
    <col width="32" customWidth="1" min="7" max="7"/>
    <col width="20" customWidth="1" min="8" max="8"/>
  </cols>
  <sheetData>
    <row r="1" ht="30" customHeight="1">
      <c r="A1" s="1" t="inlineStr">
        <is>
          <t>顺丰控股一季度物流收入完整勾稽链（经营简报口径）</t>
        </is>
      </c>
    </row>
    <row r="2" ht="25" customHeight="1">
      <c r="A2" s="2" t="inlineStr">
        <is>
          <t>验证目标：核定727.66亿元能否由两份经营简报的速运物流+供应链及国际数据准确复算；所有计算单元格保留Excel公式可检查</t>
        </is>
      </c>
    </row>
    <row r="3" ht="22" customHeight="1">
      <c r="A3" s="15" t="inlineStr">
        <is>
          <t>一、本期（2026年）</t>
        </is>
      </c>
    </row>
    <row r="4" ht="40" customHeight="1">
      <c r="A4" s="3" t="inlineStr">
        <is>
          <t>项目</t>
        </is>
      </c>
      <c r="B4" s="3" t="inlineStr">
        <is>
          <t>原始披露值
（亿元，2位小数）</t>
        </is>
      </c>
      <c r="C4" s="3" t="inlineStr">
        <is>
          <t>单位</t>
        </is>
      </c>
      <c r="D4" s="3" t="inlineStr">
        <is>
          <t>精度</t>
        </is>
      </c>
      <c r="E4" s="3" t="inlineStr">
        <is>
          <t>数据来源文件</t>
        </is>
      </c>
      <c r="F4" s="3" t="inlineStr">
        <is>
          <t>页码</t>
        </is>
      </c>
      <c r="G4" s="3" t="inlineStr">
        <is>
          <t>公式说明</t>
        </is>
      </c>
      <c r="H4" s="3" t="inlineStr">
        <is>
          <t>校验结果</t>
        </is>
      </c>
    </row>
    <row r="5" ht="22" customHeight="1">
      <c r="A5" s="16" t="inlineStr">
        <is>
          <t>【1-2月累计】速运物流业务收入</t>
        </is>
      </c>
      <c r="B5" s="17" t="n">
        <v>368.17</v>
      </c>
      <c r="C5" s="17" t="inlineStr">
        <is>
          <t>亿元</t>
        </is>
      </c>
      <c r="D5" s="17" t="inlineStr">
        <is>
          <t>2位小数</t>
        </is>
      </c>
      <c r="E5" s="17" t="inlineStr">
        <is>
          <t>2026年2月快递物流业务经营简报</t>
        </is>
      </c>
      <c r="F5" s="17" t="inlineStr">
        <is>
          <t>第1页</t>
        </is>
      </c>
      <c r="G5" s="17" t="inlineStr">
        <is>
          <t>原始披露值</t>
        </is>
      </c>
      <c r="H5" s="17" t="inlineStr">
        <is>
          <t>—</t>
        </is>
      </c>
    </row>
    <row r="6" ht="22" customHeight="1">
      <c r="A6" s="16" t="inlineStr">
        <is>
          <t>【1-2月累计】供应链及国际业务收入</t>
        </is>
      </c>
      <c r="B6" s="17" t="n">
        <v>116.47</v>
      </c>
      <c r="C6" s="17" t="inlineStr">
        <is>
          <t>亿元</t>
        </is>
      </c>
      <c r="D6" s="17" t="inlineStr">
        <is>
          <t>2位小数</t>
        </is>
      </c>
      <c r="E6" s="17" t="inlineStr">
        <is>
          <t>2026年2月快递物流业务经营简报</t>
        </is>
      </c>
      <c r="F6" s="17" t="inlineStr">
        <is>
          <t>第1页</t>
        </is>
      </c>
      <c r="G6" s="17" t="inlineStr">
        <is>
          <t>原始披露值</t>
        </is>
      </c>
      <c r="H6" s="17" t="inlineStr">
        <is>
          <t>—</t>
        </is>
      </c>
    </row>
    <row r="7" ht="22" customHeight="1">
      <c r="A7" s="16" t="inlineStr">
        <is>
          <t>【1-2月累计】合计（分项加总）</t>
        </is>
      </c>
      <c r="B7" s="18">
        <f>B5+B6</f>
        <v/>
      </c>
      <c r="C7" s="17" t="inlineStr">
        <is>
          <t>亿元</t>
        </is>
      </c>
      <c r="D7" s="17" t="inlineStr">
        <is>
          <t>2位小数</t>
        </is>
      </c>
      <c r="E7" s="17" t="inlineStr">
        <is>
          <t>公式计算</t>
        </is>
      </c>
      <c r="F7" s="17" t="inlineStr">
        <is>
          <t>—</t>
        </is>
      </c>
      <c r="G7" s="17">
        <f>速运物流+供应链及国际</f>
        <v/>
      </c>
      <c r="H7" s="17">
        <f>IF(ROUND(B7,2)=484.64,"与披露一致✓","差异")</f>
        <v/>
      </c>
    </row>
    <row r="8" ht="22" customHeight="1">
      <c r="A8" s="16" t="inlineStr">
        <is>
          <t>【1-2月累计】合计（披露值）</t>
        </is>
      </c>
      <c r="B8" s="17" t="n">
        <v>484.64</v>
      </c>
      <c r="C8" s="17" t="inlineStr">
        <is>
          <t>亿元</t>
        </is>
      </c>
      <c r="D8" s="17" t="inlineStr">
        <is>
          <t>2位小数</t>
        </is>
      </c>
      <c r="E8" s="17" t="inlineStr">
        <is>
          <t>2026年2月快递物流业务经营简报</t>
        </is>
      </c>
      <c r="F8" s="17" t="inlineStr">
        <is>
          <t>第1页</t>
        </is>
      </c>
      <c r="G8" s="17" t="inlineStr">
        <is>
          <t>原始披露值，用于交叉校验</t>
        </is>
      </c>
      <c r="H8" s="17" t="inlineStr">
        <is>
          <t>—</t>
        </is>
      </c>
    </row>
    <row r="9" ht="22" customHeight="1">
      <c r="A9" s="16" t="inlineStr">
        <is>
          <t>【3月单月】速运物流业务收入</t>
        </is>
      </c>
      <c r="B9" s="17" t="n">
        <v>180.19</v>
      </c>
      <c r="C9" s="17" t="inlineStr">
        <is>
          <t>亿元</t>
        </is>
      </c>
      <c r="D9" s="17" t="inlineStr">
        <is>
          <t>2位小数</t>
        </is>
      </c>
      <c r="E9" s="17" t="inlineStr">
        <is>
          <t>2026年3月快递物流业务经营简报</t>
        </is>
      </c>
      <c r="F9" s="17" t="inlineStr">
        <is>
          <t>第1页</t>
        </is>
      </c>
      <c r="G9" s="17" t="inlineStr">
        <is>
          <t>原始披露值</t>
        </is>
      </c>
      <c r="H9" s="17" t="inlineStr">
        <is>
          <t>—</t>
        </is>
      </c>
    </row>
    <row r="10" ht="22" customHeight="1">
      <c r="A10" s="16" t="inlineStr">
        <is>
          <t>【3月单月】供应链及国际业务收入</t>
        </is>
      </c>
      <c r="B10" s="17" t="n">
        <v>62.83</v>
      </c>
      <c r="C10" s="17" t="inlineStr">
        <is>
          <t>亿元</t>
        </is>
      </c>
      <c r="D10" s="17" t="inlineStr">
        <is>
          <t>2位小数</t>
        </is>
      </c>
      <c r="E10" s="17" t="inlineStr">
        <is>
          <t>2026年3月快递物流业务经营简报</t>
        </is>
      </c>
      <c r="F10" s="17" t="inlineStr">
        <is>
          <t>第1页</t>
        </is>
      </c>
      <c r="G10" s="17" t="inlineStr">
        <is>
          <t>原始披露值</t>
        </is>
      </c>
      <c r="H10" s="17" t="inlineStr">
        <is>
          <t>—</t>
        </is>
      </c>
    </row>
    <row r="11" ht="22" customHeight="1">
      <c r="A11" s="16" t="inlineStr">
        <is>
          <t>【3月单月】合计（分项加总）</t>
        </is>
      </c>
      <c r="B11" s="18">
        <f>B9+B10</f>
        <v/>
      </c>
      <c r="C11" s="17" t="inlineStr">
        <is>
          <t>亿元</t>
        </is>
      </c>
      <c r="D11" s="17" t="inlineStr">
        <is>
          <t>2位小数</t>
        </is>
      </c>
      <c r="E11" s="17" t="inlineStr">
        <is>
          <t>公式计算</t>
        </is>
      </c>
      <c r="F11" s="17" t="inlineStr">
        <is>
          <t>—</t>
        </is>
      </c>
      <c r="G11" s="17">
        <f>速运物流+供应链及国际</f>
        <v/>
      </c>
      <c r="H11" s="17">
        <f>IF(ROUND(B11,2)=243.02,"与披露一致✓","差异")</f>
        <v/>
      </c>
    </row>
    <row r="12" ht="22" customHeight="1">
      <c r="A12" s="16" t="inlineStr">
        <is>
          <t>【3月单月】合计（披露值）</t>
        </is>
      </c>
      <c r="B12" s="17" t="n">
        <v>243.02</v>
      </c>
      <c r="C12" s="17" t="inlineStr">
        <is>
          <t>亿元</t>
        </is>
      </c>
      <c r="D12" s="17" t="inlineStr">
        <is>
          <t>2位小数</t>
        </is>
      </c>
      <c r="E12" s="17" t="inlineStr">
        <is>
          <t>2026年3月快递物流业务经营简报</t>
        </is>
      </c>
      <c r="F12" s="17" t="inlineStr">
        <is>
          <t>第1页</t>
        </is>
      </c>
      <c r="G12" s="17" t="inlineStr">
        <is>
          <t>原始披露值，用于交叉校验</t>
        </is>
      </c>
      <c r="H12" s="17" t="inlineStr">
        <is>
          <t>—</t>
        </is>
      </c>
    </row>
    <row r="13" ht="22" customHeight="1">
      <c r="A13" s="16" t="inlineStr">
        <is>
          <t>【一季度推算】速运物流业务收入</t>
        </is>
      </c>
      <c r="B13" s="18">
        <f>B5+B9</f>
        <v/>
      </c>
      <c r="C13" s="17" t="inlineStr">
        <is>
          <t>亿元</t>
        </is>
      </c>
      <c r="D13" s="17" t="inlineStr">
        <is>
          <t>2位小数</t>
        </is>
      </c>
      <c r="E13" s="17" t="inlineStr">
        <is>
          <t>公式计算</t>
        </is>
      </c>
      <c r="F13" s="17" t="inlineStr">
        <is>
          <t>—</t>
        </is>
      </c>
      <c r="G13" s="17">
        <f>1-2月累计+3月单月</f>
        <v/>
      </c>
      <c r="H13" s="17" t="inlineStr">
        <is>
          <t>—</t>
        </is>
      </c>
    </row>
    <row r="14" ht="22" customHeight="1">
      <c r="A14" s="16" t="inlineStr">
        <is>
          <t>【一季度推算】供应链及国际业务收入</t>
        </is>
      </c>
      <c r="B14" s="18">
        <f>B6+B10</f>
        <v/>
      </c>
      <c r="C14" s="17" t="inlineStr">
        <is>
          <t>亿元</t>
        </is>
      </c>
      <c r="D14" s="17" t="inlineStr">
        <is>
          <t>2位小数</t>
        </is>
      </c>
      <c r="E14" s="17" t="inlineStr">
        <is>
          <t>公式计算</t>
        </is>
      </c>
      <c r="F14" s="17" t="inlineStr">
        <is>
          <t>—</t>
        </is>
      </c>
      <c r="G14" s="17">
        <f>1-2月累计+3月单月</f>
        <v/>
      </c>
      <c r="H14" s="17" t="inlineStr">
        <is>
          <t>—</t>
        </is>
      </c>
    </row>
    <row r="15" ht="22" customHeight="1">
      <c r="A15" s="16" t="inlineStr">
        <is>
          <t>【一季度推算】物流业务合计（分项加总）</t>
        </is>
      </c>
      <c r="B15" s="18">
        <f>B13+B14</f>
        <v/>
      </c>
      <c r="C15" s="17" t="inlineStr">
        <is>
          <t>亿元</t>
        </is>
      </c>
      <c r="D15" s="17" t="inlineStr">
        <is>
          <t>2位小数</t>
        </is>
      </c>
      <c r="E15" s="17" t="inlineStr">
        <is>
          <t>公式计算</t>
        </is>
      </c>
      <c r="F15" s="17" t="inlineStr">
        <is>
          <t>—</t>
        </is>
      </c>
      <c r="G15" s="17">
        <f>速运物流+供应链及国际</f>
        <v/>
      </c>
      <c r="H15" s="17" t="inlineStr">
        <is>
          <t>—</t>
        </is>
      </c>
    </row>
    <row r="16" ht="22" customHeight="1">
      <c r="A16" s="16" t="inlineStr">
        <is>
          <t>【一季度推算】物流业务合计（期间加总）</t>
        </is>
      </c>
      <c r="B16" s="18">
        <f>B7+B11</f>
        <v/>
      </c>
      <c r="C16" s="17" t="inlineStr">
        <is>
          <t>亿元</t>
        </is>
      </c>
      <c r="D16" s="17" t="inlineStr">
        <is>
          <t>2位小数</t>
        </is>
      </c>
      <c r="E16" s="17" t="inlineStr">
        <is>
          <t>公式计算</t>
        </is>
      </c>
      <c r="F16" s="17" t="inlineStr">
        <is>
          <t>—</t>
        </is>
      </c>
      <c r="G16" s="17">
        <f>1-2月合计+3月合计（第二条路径验证）</f>
        <v/>
      </c>
      <c r="H16" s="17">
        <f>IF(B15=B16,"两条路径一致✓","路径差异")</f>
        <v/>
      </c>
    </row>
    <row r="17" ht="22" customHeight="1">
      <c r="A17" s="16" t="inlineStr">
        <is>
          <t>舍入差异检查（分项加总vs期间加总）</t>
        </is>
      </c>
      <c r="B17" s="18">
        <f>B15-B16</f>
        <v/>
      </c>
      <c r="C17" s="17" t="inlineStr">
        <is>
          <t>亿元</t>
        </is>
      </c>
      <c r="D17" s="17" t="inlineStr">
        <is>
          <t>—</t>
        </is>
      </c>
      <c r="E17" s="17" t="inlineStr">
        <is>
          <t>公式计算</t>
        </is>
      </c>
      <c r="F17" s="17" t="inlineStr">
        <is>
          <t>—</t>
        </is>
      </c>
      <c r="G17" s="17" t="inlineStr">
        <is>
          <t>两条计算路径的差异（应为0）</t>
        </is>
      </c>
      <c r="H17" s="17">
        <f>IF(B17=0,"无舍入误差✓","存在舍入误差")</f>
        <v/>
      </c>
    </row>
    <row r="18" ht="25" customHeight="1">
      <c r="A18" s="19" t="inlineStr">
        <is>
          <t>本期结论：727.66亿元可由两份经营简报数据准确复算，分项加总与期间加总两条路径完全一致，无舍入差异</t>
        </is>
      </c>
    </row>
    <row r="19" ht="22" customHeight="1">
      <c r="A19" s="16" t="n"/>
      <c r="B19" s="17" t="n"/>
      <c r="C19" s="17" t="n"/>
      <c r="D19" s="17" t="n"/>
      <c r="E19" s="17" t="n"/>
      <c r="F19" s="17" t="n"/>
      <c r="G19" s="17" t="n"/>
      <c r="H19" s="17" t="n"/>
    </row>
    <row r="20" ht="22" customHeight="1">
      <c r="A20" s="15" t="inlineStr">
        <is>
          <t>二、上年同期（2025年）</t>
        </is>
      </c>
    </row>
    <row r="21" ht="40" customHeight="1">
      <c r="A21" s="3" t="inlineStr">
        <is>
          <t>项目</t>
        </is>
      </c>
      <c r="B21" s="3" t="inlineStr">
        <is>
          <t>原始披露值
（亿元，2位小数）</t>
        </is>
      </c>
      <c r="C21" s="3" t="inlineStr">
        <is>
          <t>单位</t>
        </is>
      </c>
      <c r="D21" s="3" t="inlineStr">
        <is>
          <t>精度</t>
        </is>
      </c>
      <c r="E21" s="3" t="inlineStr">
        <is>
          <t>数据来源文件</t>
        </is>
      </c>
      <c r="F21" s="3" t="inlineStr">
        <is>
          <t>页码</t>
        </is>
      </c>
      <c r="G21" s="3" t="inlineStr">
        <is>
          <t>公式说明</t>
        </is>
      </c>
      <c r="H21" s="3" t="inlineStr">
        <is>
          <t>校验结果</t>
        </is>
      </c>
    </row>
    <row r="22" ht="22" customHeight="1">
      <c r="A22" s="16" t="inlineStr">
        <is>
          <t>【1-2月累计】速运物流业务收入</t>
        </is>
      </c>
      <c r="B22" s="17" t="n">
        <v>339.12</v>
      </c>
      <c r="C22" s="17" t="inlineStr">
        <is>
          <t>亿元</t>
        </is>
      </c>
      <c r="D22" s="17" t="inlineStr">
        <is>
          <t>2位小数</t>
        </is>
      </c>
      <c r="E22" s="17" t="inlineStr">
        <is>
          <t>2026年2月快递物流业务经营简报</t>
        </is>
      </c>
      <c r="F22" s="17" t="inlineStr">
        <is>
          <t>第1页</t>
        </is>
      </c>
      <c r="G22" s="17" t="inlineStr">
        <is>
          <t>原始披露值（同比列）</t>
        </is>
      </c>
      <c r="H22" s="17" t="inlineStr">
        <is>
          <t>—</t>
        </is>
      </c>
    </row>
    <row r="23" ht="22" customHeight="1">
      <c r="A23" s="16" t="inlineStr">
        <is>
          <t>【1-2月累计】供应链及国际业务收入</t>
        </is>
      </c>
      <c r="B23" s="17" t="n">
        <v>107.36</v>
      </c>
      <c r="C23" s="17" t="inlineStr">
        <is>
          <t>亿元</t>
        </is>
      </c>
      <c r="D23" s="17" t="inlineStr">
        <is>
          <t>2位小数</t>
        </is>
      </c>
      <c r="E23" s="17" t="inlineStr">
        <is>
          <t>2026年2月快递物流业务经营简报</t>
        </is>
      </c>
      <c r="F23" s="17" t="inlineStr">
        <is>
          <t>第1页</t>
        </is>
      </c>
      <c r="G23" s="17" t="inlineStr">
        <is>
          <t>原始披露值（同比列）</t>
        </is>
      </c>
      <c r="H23" s="17" t="inlineStr">
        <is>
          <t>—</t>
        </is>
      </c>
    </row>
    <row r="24" ht="22" customHeight="1">
      <c r="A24" s="16" t="inlineStr">
        <is>
          <t>【1-2月累计】合计（分项加总）</t>
        </is>
      </c>
      <c r="B24" s="18">
        <f>B22+B23</f>
        <v/>
      </c>
      <c r="C24" s="17" t="inlineStr">
        <is>
          <t>亿元</t>
        </is>
      </c>
      <c r="D24" s="17" t="inlineStr">
        <is>
          <t>2位小数</t>
        </is>
      </c>
      <c r="E24" s="17" t="inlineStr">
        <is>
          <t>公式计算</t>
        </is>
      </c>
      <c r="F24" s="17" t="inlineStr">
        <is>
          <t>—</t>
        </is>
      </c>
      <c r="G24" s="17">
        <f>速运物流+供应链及国际</f>
        <v/>
      </c>
      <c r="H24" s="17">
        <f>IF(ROUND(B24,2)=446.48,"与披露一致✓","差异")</f>
        <v/>
      </c>
    </row>
    <row r="25" ht="22" customHeight="1">
      <c r="A25" s="16" t="inlineStr">
        <is>
          <t>【1-2月累计】合计（披露值）</t>
        </is>
      </c>
      <c r="B25" s="17" t="n">
        <v>446.48</v>
      </c>
      <c r="C25" s="17" t="inlineStr">
        <is>
          <t>亿元</t>
        </is>
      </c>
      <c r="D25" s="17" t="inlineStr">
        <is>
          <t>2位小数</t>
        </is>
      </c>
      <c r="E25" s="17" t="inlineStr">
        <is>
          <t>2026年2月快递物流业务经营简报</t>
        </is>
      </c>
      <c r="F25" s="17" t="inlineStr">
        <is>
          <t>第1页</t>
        </is>
      </c>
      <c r="G25" s="17" t="inlineStr">
        <is>
          <t>原始披露值（同比列），用于交叉校验</t>
        </is>
      </c>
      <c r="H25" s="17" t="inlineStr">
        <is>
          <t>—</t>
        </is>
      </c>
    </row>
    <row r="26" ht="22" customHeight="1">
      <c r="A26" s="16" t="inlineStr">
        <is>
          <t>【3月单月】速运物流业务收入</t>
        </is>
      </c>
      <c r="B26" s="17" t="n">
        <v>178.97</v>
      </c>
      <c r="C26" s="17" t="inlineStr">
        <is>
          <t>亿元</t>
        </is>
      </c>
      <c r="D26" s="17" t="inlineStr">
        <is>
          <t>2位小数</t>
        </is>
      </c>
      <c r="E26" s="17" t="inlineStr">
        <is>
          <t>2026年3月快递物流业务经营简报</t>
        </is>
      </c>
      <c r="F26" s="17" t="inlineStr">
        <is>
          <t>第1页</t>
        </is>
      </c>
      <c r="G26" s="17" t="inlineStr">
        <is>
          <t>原始披露值（同比列）</t>
        </is>
      </c>
      <c r="H26" s="17" t="inlineStr">
        <is>
          <t>—</t>
        </is>
      </c>
    </row>
    <row r="27" ht="22" customHeight="1">
      <c r="A27" s="16" t="inlineStr">
        <is>
          <t>【3月单月】供应链及国际业务收入</t>
        </is>
      </c>
      <c r="B27" s="17" t="n">
        <v>57.64</v>
      </c>
      <c r="C27" s="17" t="inlineStr">
        <is>
          <t>亿元</t>
        </is>
      </c>
      <c r="D27" s="17" t="inlineStr">
        <is>
          <t>2位小数</t>
        </is>
      </c>
      <c r="E27" s="17" t="inlineStr">
        <is>
          <t>2026年3月快递物流业务经营简报</t>
        </is>
      </c>
      <c r="F27" s="17" t="inlineStr">
        <is>
          <t>第1页</t>
        </is>
      </c>
      <c r="G27" s="17" t="inlineStr">
        <is>
          <t>原始披露值（同比列）</t>
        </is>
      </c>
      <c r="H27" s="17" t="inlineStr">
        <is>
          <t>—</t>
        </is>
      </c>
    </row>
    <row r="28" ht="22" customHeight="1">
      <c r="A28" s="16" t="inlineStr">
        <is>
          <t>【3月单月】合计（分项加总）</t>
        </is>
      </c>
      <c r="B28" s="18">
        <f>B26+B27</f>
        <v/>
      </c>
      <c r="C28" s="17" t="inlineStr">
        <is>
          <t>亿元</t>
        </is>
      </c>
      <c r="D28" s="17" t="inlineStr">
        <is>
          <t>2位小数</t>
        </is>
      </c>
      <c r="E28" s="17" t="inlineStr">
        <is>
          <t>公式计算</t>
        </is>
      </c>
      <c r="F28" s="17" t="inlineStr">
        <is>
          <t>—</t>
        </is>
      </c>
      <c r="G28" s="17">
        <f>速运物流+供应链及国际</f>
        <v/>
      </c>
      <c r="H28" s="17">
        <f>IF(ROUND(B28,2)=236.61,"与披露一致✓","差异")</f>
        <v/>
      </c>
    </row>
    <row r="29" ht="22" customHeight="1">
      <c r="A29" s="16" t="inlineStr">
        <is>
          <t>【3月单月】合计（披露值）</t>
        </is>
      </c>
      <c r="B29" s="17" t="n">
        <v>236.61</v>
      </c>
      <c r="C29" s="17" t="inlineStr">
        <is>
          <t>亿元</t>
        </is>
      </c>
      <c r="D29" s="17" t="inlineStr">
        <is>
          <t>2位小数</t>
        </is>
      </c>
      <c r="E29" s="17" t="inlineStr">
        <is>
          <t>2026年3月快递物流业务经营简报</t>
        </is>
      </c>
      <c r="F29" s="17" t="inlineStr">
        <is>
          <t>第1页</t>
        </is>
      </c>
      <c r="G29" s="17" t="inlineStr">
        <is>
          <t>原始披露值（同比列），用于交叉校验</t>
        </is>
      </c>
      <c r="H29" s="17" t="inlineStr">
        <is>
          <t>—</t>
        </is>
      </c>
    </row>
    <row r="30" ht="22" customHeight="1">
      <c r="A30" s="16" t="inlineStr">
        <is>
          <t>【一季度推算】速运物流业务收入</t>
        </is>
      </c>
      <c r="B30" s="18">
        <f>B22+B26</f>
        <v/>
      </c>
      <c r="C30" s="17" t="inlineStr">
        <is>
          <t>亿元</t>
        </is>
      </c>
      <c r="D30" s="17" t="inlineStr">
        <is>
          <t>2位小数</t>
        </is>
      </c>
      <c r="E30" s="17" t="inlineStr">
        <is>
          <t>公式计算</t>
        </is>
      </c>
      <c r="F30" s="17" t="inlineStr">
        <is>
          <t>—</t>
        </is>
      </c>
      <c r="G30" s="17">
        <f>1-2月累计+3月单月</f>
        <v/>
      </c>
      <c r="H30" s="17" t="inlineStr">
        <is>
          <t>—</t>
        </is>
      </c>
    </row>
    <row r="31" ht="22" customHeight="1">
      <c r="A31" s="16" t="inlineStr">
        <is>
          <t>【一季度推算】供应链及国际业务收入</t>
        </is>
      </c>
      <c r="B31" s="18">
        <f>B23+B27</f>
        <v/>
      </c>
      <c r="C31" s="17" t="inlineStr">
        <is>
          <t>亿元</t>
        </is>
      </c>
      <c r="D31" s="17" t="inlineStr">
        <is>
          <t>2位小数</t>
        </is>
      </c>
      <c r="E31" s="17" t="inlineStr">
        <is>
          <t>公式计算</t>
        </is>
      </c>
      <c r="F31" s="17" t="inlineStr">
        <is>
          <t>—</t>
        </is>
      </c>
      <c r="G31" s="17">
        <f>1-2月累计+3月单月</f>
        <v/>
      </c>
      <c r="H31" s="17" t="inlineStr">
        <is>
          <t>—</t>
        </is>
      </c>
    </row>
    <row r="32" ht="22" customHeight="1">
      <c r="A32" s="16" t="inlineStr">
        <is>
          <t>【一季度推算】物流业务合计（分项加总）</t>
        </is>
      </c>
      <c r="B32" s="18">
        <f>B30+B31</f>
        <v/>
      </c>
      <c r="C32" s="17" t="inlineStr">
        <is>
          <t>亿元</t>
        </is>
      </c>
      <c r="D32" s="17" t="inlineStr">
        <is>
          <t>2位小数</t>
        </is>
      </c>
      <c r="E32" s="17" t="inlineStr">
        <is>
          <t>公式计算</t>
        </is>
      </c>
      <c r="F32" s="17" t="inlineStr">
        <is>
          <t>—</t>
        </is>
      </c>
      <c r="G32" s="17">
        <f>速运物流+供应链及国际</f>
        <v/>
      </c>
      <c r="H32" s="17" t="inlineStr">
        <is>
          <t>—</t>
        </is>
      </c>
    </row>
    <row r="33" ht="22" customHeight="1">
      <c r="A33" s="16" t="inlineStr">
        <is>
          <t>【一季度推算】物流业务合计（期间加总）</t>
        </is>
      </c>
      <c r="B33" s="18">
        <f>B24+B28</f>
        <v/>
      </c>
      <c r="C33" s="17" t="inlineStr">
        <is>
          <t>亿元</t>
        </is>
      </c>
      <c r="D33" s="17" t="inlineStr">
        <is>
          <t>2位小数</t>
        </is>
      </c>
      <c r="E33" s="17" t="inlineStr">
        <is>
          <t>公式计算</t>
        </is>
      </c>
      <c r="F33" s="17" t="inlineStr">
        <is>
          <t>—</t>
        </is>
      </c>
      <c r="G33" s="17">
        <f>1-2月合计+3月合计（第二条路径验证）</f>
        <v/>
      </c>
      <c r="H33" s="17">
        <f>IF(B32=B33,"两条路径一致✓","路径差异")</f>
        <v/>
      </c>
    </row>
    <row r="34" ht="22" customHeight="1">
      <c r="A34" s="16" t="inlineStr">
        <is>
          <t>舍入差异检查（分项加总vs期间加总）</t>
        </is>
      </c>
      <c r="B34" s="18">
        <f>B32-B33</f>
        <v/>
      </c>
      <c r="C34" s="17" t="inlineStr">
        <is>
          <t>亿元</t>
        </is>
      </c>
      <c r="D34" s="17" t="inlineStr">
        <is>
          <t>—</t>
        </is>
      </c>
      <c r="E34" s="17" t="inlineStr">
        <is>
          <t>公式计算</t>
        </is>
      </c>
      <c r="F34" s="17" t="inlineStr">
        <is>
          <t>—</t>
        </is>
      </c>
      <c r="G34" s="17" t="inlineStr">
        <is>
          <t>两条计算路径的差异（应为0）</t>
        </is>
      </c>
      <c r="H34" s="17">
        <f>IF(B34=0,"无舍入误差✓","存在舍入误差")</f>
        <v/>
      </c>
    </row>
    <row r="35" ht="25" customHeight="1">
      <c r="A35" s="19" t="inlineStr">
        <is>
          <t>上年同期结论：683.09亿元可由两份经营简报数据准确复算，分项加总与期间加总两条路径完全一致，无舍入差异</t>
        </is>
      </c>
    </row>
    <row r="37">
      <c r="A37" s="11" t="inlineStr">
        <is>
          <t>备注：绿色字体单元格为Excel公式，可点击查看计算逻辑；校验列自动比对披露值与计算值；所有原始数据均标注来源文件名与页码。</t>
        </is>
      </c>
    </row>
  </sheetData>
  <mergeCells count="7">
    <mergeCell ref="A18:H18"/>
    <mergeCell ref="A3:H3"/>
    <mergeCell ref="A35:H35"/>
    <mergeCell ref="A20:H20"/>
    <mergeCell ref="A2:H2"/>
    <mergeCell ref="A1:H1"/>
    <mergeCell ref="A37:H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16" customWidth="1" min="5" max="5"/>
    <col width="18" customWidth="1" min="6" max="6"/>
    <col width="24" customWidth="1" min="7" max="7"/>
    <col width="12" customWidth="1" min="8" max="8"/>
    <col width="32" customWidth="1" min="9" max="9"/>
  </cols>
  <sheetData>
    <row r="1" ht="30" customHeight="1">
      <c r="A1" s="1" t="inlineStr">
        <is>
          <t>物流收入与一季报营业总收入 口径桥接与复算检查表</t>
        </is>
      </c>
    </row>
    <row r="2" ht="25" customHeight="1">
      <c r="A2" s="2" t="inlineStr">
        <is>
          <t>说明：桥接经营简报口径物流收入与一季报合并口径营业总收入；差额统一标为待公司分部或科目资料确认，归因栏留空</t>
        </is>
      </c>
    </row>
    <row r="3" ht="22" customHeight="1">
      <c r="A3" s="15" t="inlineStr">
        <is>
          <t>一、本期（2026年第一季度）</t>
        </is>
      </c>
    </row>
    <row r="4" ht="50" customHeight="1">
      <c r="A4" s="3" t="inlineStr">
        <is>
          <t>数据类别</t>
        </is>
      </c>
      <c r="B4" s="3" t="inlineStr">
        <is>
          <t>原始披露值
（千元）</t>
        </is>
      </c>
      <c r="C4" s="3" t="inlineStr">
        <is>
          <t>换算公式
（千元→亿元）</t>
        </is>
      </c>
      <c r="D4" s="3" t="inlineStr">
        <is>
          <t>换算后
（亿元，多位小数）</t>
        </is>
      </c>
      <c r="E4" s="3" t="inlineStr">
        <is>
          <t>原披露精度</t>
        </is>
      </c>
      <c r="F4" s="3" t="inlineStr">
        <is>
          <t>复算精度
（亿元,2位小数）</t>
        </is>
      </c>
      <c r="G4" s="3" t="inlineStr">
        <is>
          <t>数据来源文件</t>
        </is>
      </c>
      <c r="H4" s="3" t="inlineStr">
        <is>
          <t>页码</t>
        </is>
      </c>
      <c r="I4" s="3" t="inlineStr">
        <is>
          <t>审计状态</t>
        </is>
      </c>
    </row>
    <row r="5" ht="40" customHeight="1">
      <c r="A5" s="16" t="inlineStr">
        <is>
          <t>物流业务合计收入
（经营简报口径）</t>
        </is>
      </c>
      <c r="B5" s="17" t="inlineStr">
        <is>
          <t>—</t>
        </is>
      </c>
      <c r="C5" s="17" t="inlineStr">
        <is>
          <t>—</t>
        </is>
      </c>
      <c r="D5" s="33">
        <f>'物流收入勾稽链'!B15</f>
        <v/>
      </c>
      <c r="E5" s="17" t="inlineStr">
        <is>
          <t>亿元，2位小数</t>
        </is>
      </c>
      <c r="F5" s="18">
        <f>ROUND(D5,2)</f>
        <v/>
      </c>
      <c r="G5" s="5" t="inlineStr">
        <is>
          <t>2月经营简报+3月经营简报</t>
        </is>
      </c>
      <c r="H5" s="5" t="inlineStr">
        <is>
          <t>均为第1页</t>
        </is>
      </c>
      <c r="I5" s="5" t="inlineStr">
        <is>
          <t>未经审计</t>
        </is>
      </c>
    </row>
    <row r="6" ht="40" customHeight="1">
      <c r="A6" s="16" t="inlineStr">
        <is>
          <t>营业总收入
（一季报合并口径）</t>
        </is>
      </c>
      <c r="B6" s="17" t="n">
        <v>74142121</v>
      </c>
      <c r="C6" s="18">
        <f>B6/100000</f>
        <v/>
      </c>
      <c r="D6" s="18">
        <f>B6/100000</f>
        <v/>
      </c>
      <c r="E6" s="17" t="inlineStr">
        <is>
          <t>千元，精确到个位</t>
        </is>
      </c>
      <c r="F6" s="18">
        <f>ROUND(D6,2)</f>
        <v/>
      </c>
      <c r="G6" s="5" t="inlineStr">
        <is>
          <t>顺丰控股2026年第一季度报告</t>
        </is>
      </c>
      <c r="H6" s="5" t="inlineStr">
        <is>
          <t>第2页、第14页</t>
        </is>
      </c>
      <c r="I6" s="5" t="inlineStr">
        <is>
          <t>未经审计</t>
        </is>
      </c>
    </row>
    <row r="7" ht="40" customHeight="1">
      <c r="A7" s="16" t="inlineStr">
        <is>
          <t>差额
（一季报总营收 - 物流收入）</t>
        </is>
      </c>
      <c r="B7" s="17" t="inlineStr">
        <is>
          <t>—</t>
        </is>
      </c>
      <c r="C7" s="17" t="inlineStr">
        <is>
          <t>—</t>
        </is>
      </c>
      <c r="D7" s="18">
        <f>D6-D5</f>
        <v/>
      </c>
      <c r="E7" s="17" t="inlineStr">
        <is>
          <t>—</t>
        </is>
      </c>
      <c r="F7" s="18">
        <f>ROUND(D7,2)</f>
        <v/>
      </c>
      <c r="G7" s="5" t="inlineStr">
        <is>
          <t>倒挤计算</t>
        </is>
      </c>
      <c r="H7" s="5" t="inlineStr">
        <is>
          <t>—</t>
        </is>
      </c>
      <c r="I7" s="6" t="inlineStr">
        <is>
          <t>待确认</t>
        </is>
      </c>
    </row>
    <row r="8" ht="28" customHeight="1">
      <c r="A8" s="14" t="inlineStr">
        <is>
          <t>差额状态：待公司分部或科目资料确认 | 归因：留空 | 依据：经营简报仅声明自身不含非物流收入，但未提供差额构成的直接勾稽依据</t>
        </is>
      </c>
    </row>
    <row r="9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 ht="22" customHeight="1">
      <c r="A10" s="15" t="inlineStr">
        <is>
          <t>二、上年同期（2025年第一季度）</t>
        </is>
      </c>
    </row>
    <row r="11" ht="50" customHeight="1">
      <c r="A11" s="3" t="inlineStr">
        <is>
          <t>数据类别</t>
        </is>
      </c>
      <c r="B11" s="3" t="inlineStr">
        <is>
          <t>原始披露值
（千元）</t>
        </is>
      </c>
      <c r="C11" s="3" t="inlineStr">
        <is>
          <t>换算公式
（千元→亿元）</t>
        </is>
      </c>
      <c r="D11" s="3" t="inlineStr">
        <is>
          <t>换算后
（亿元，多位小数）</t>
        </is>
      </c>
      <c r="E11" s="3" t="inlineStr">
        <is>
          <t>原披露精度</t>
        </is>
      </c>
      <c r="F11" s="3" t="inlineStr">
        <is>
          <t>复算精度
（亿元,2位小数）</t>
        </is>
      </c>
      <c r="G11" s="3" t="inlineStr">
        <is>
          <t>数据来源文件</t>
        </is>
      </c>
      <c r="H11" s="3" t="inlineStr">
        <is>
          <t>页码</t>
        </is>
      </c>
      <c r="I11" s="3" t="inlineStr">
        <is>
          <t>审计状态</t>
        </is>
      </c>
    </row>
    <row r="12" ht="40" customHeight="1">
      <c r="A12" s="16" t="inlineStr">
        <is>
          <t>物流业务合计收入
（经营简报口径）</t>
        </is>
      </c>
      <c r="B12" s="17" t="inlineStr">
        <is>
          <t>—</t>
        </is>
      </c>
      <c r="C12" s="17" t="inlineStr">
        <is>
          <t>—</t>
        </is>
      </c>
      <c r="D12" s="33">
        <f>'物流收入勾稽链'!B32</f>
        <v/>
      </c>
      <c r="E12" s="17" t="inlineStr">
        <is>
          <t>亿元，2位小数</t>
        </is>
      </c>
      <c r="F12" s="18">
        <f>ROUND(D12,2)</f>
        <v/>
      </c>
      <c r="G12" s="5" t="inlineStr">
        <is>
          <t>2月经营简报+3月经营简报（同期列）</t>
        </is>
      </c>
      <c r="H12" s="5" t="inlineStr">
        <is>
          <t>均为第1页</t>
        </is>
      </c>
      <c r="I12" s="5" t="inlineStr">
        <is>
          <t>未经审计</t>
        </is>
      </c>
    </row>
    <row r="13" ht="40" customHeight="1">
      <c r="A13" s="16" t="inlineStr">
        <is>
          <t>营业总收入
（一季报合并口径）</t>
        </is>
      </c>
      <c r="B13" s="17" t="n">
        <v>69849924</v>
      </c>
      <c r="C13" s="18">
        <f>B13/100000</f>
        <v/>
      </c>
      <c r="D13" s="18">
        <f>B13/100000</f>
        <v/>
      </c>
      <c r="E13" s="17" t="inlineStr">
        <is>
          <t>千元，精确到个位</t>
        </is>
      </c>
      <c r="F13" s="18">
        <f>ROUND(D13,2)</f>
        <v/>
      </c>
      <c r="G13" s="5" t="inlineStr">
        <is>
          <t>顺丰控股2026年第一季度报告（上年同期）</t>
        </is>
      </c>
      <c r="H13" s="5" t="inlineStr">
        <is>
          <t>第2页、第14页</t>
        </is>
      </c>
      <c r="I13" s="5" t="inlineStr">
        <is>
          <t>未经审计</t>
        </is>
      </c>
    </row>
    <row r="14" ht="40" customHeight="1">
      <c r="A14" s="16" t="inlineStr">
        <is>
          <t>差额
（一季报总营收 - 物流收入）</t>
        </is>
      </c>
      <c r="B14" s="17" t="inlineStr">
        <is>
          <t>—</t>
        </is>
      </c>
      <c r="C14" s="17" t="inlineStr">
        <is>
          <t>—</t>
        </is>
      </c>
      <c r="D14" s="18">
        <f>D13-D12</f>
        <v/>
      </c>
      <c r="E14" s="17" t="inlineStr">
        <is>
          <t>—</t>
        </is>
      </c>
      <c r="F14" s="18">
        <f>ROUND(D14,2)</f>
        <v/>
      </c>
      <c r="G14" s="5" t="inlineStr">
        <is>
          <t>倒挤计算</t>
        </is>
      </c>
      <c r="H14" s="5" t="inlineStr">
        <is>
          <t>—</t>
        </is>
      </c>
      <c r="I14" s="6" t="inlineStr">
        <is>
          <t>待确认</t>
        </is>
      </c>
    </row>
    <row r="15" ht="28" customHeight="1">
      <c r="A15" s="14" t="inlineStr">
        <is>
          <t>差额状态：待公司分部或科目资料确认 | 归因：留空 | 依据：同上，上年同期同样缺乏分部收入直接勾稽依据</t>
        </is>
      </c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 ht="22" customHeight="1">
      <c r="A17" s="15" t="inlineStr">
        <is>
          <t>三、两期差额对比</t>
        </is>
      </c>
    </row>
    <row r="18" ht="35" customHeight="1">
      <c r="A18" s="3" t="inlineStr">
        <is>
          <t>期间</t>
        </is>
      </c>
      <c r="B18" s="3" t="inlineStr">
        <is>
          <t>物流收入（亿元）</t>
        </is>
      </c>
      <c r="C18" s="3" t="inlineStr">
        <is>
          <t>一季报总营收（亿元）</t>
        </is>
      </c>
      <c r="D18" s="3" t="inlineStr">
        <is>
          <t>差额（亿元）</t>
        </is>
      </c>
      <c r="E18" s="3" t="inlineStr">
        <is>
          <t>差额占总营收比例</t>
        </is>
      </c>
      <c r="F18" s="3" t="inlineStr">
        <is>
          <t>差额状态</t>
        </is>
      </c>
      <c r="G18" s="3" t="inlineStr">
        <is>
          <t>归因</t>
        </is>
      </c>
      <c r="H18" s="3" t="inlineStr">
        <is>
          <t>数据来源</t>
        </is>
      </c>
      <c r="I18" s="3" t="inlineStr">
        <is>
          <t>备注</t>
        </is>
      </c>
    </row>
    <row r="19" ht="30" customHeight="1">
      <c r="A19" s="16" t="inlineStr">
        <is>
          <t>2026年Q1（本期）</t>
        </is>
      </c>
      <c r="B19" s="18">
        <f>D5</f>
        <v/>
      </c>
      <c r="C19" s="18">
        <f>D6</f>
        <v/>
      </c>
      <c r="D19" s="18">
        <f>D7</f>
        <v/>
      </c>
      <c r="E19" s="21">
        <f>D7/D6</f>
        <v/>
      </c>
      <c r="F19" s="20" t="inlineStr">
        <is>
          <t>待公司分部或科目资料确认</t>
        </is>
      </c>
      <c r="G19" s="17" t="inlineStr">
        <is>
          <t>（留空）</t>
        </is>
      </c>
      <c r="H19" s="17" t="inlineStr">
        <is>
          <t>经营简报+一季报</t>
        </is>
      </c>
      <c r="I19" s="17" t="inlineStr">
        <is>
          <t>—</t>
        </is>
      </c>
    </row>
    <row r="20" ht="30" customHeight="1">
      <c r="A20" s="16" t="inlineStr">
        <is>
          <t>2025年Q1（上年同期）</t>
        </is>
      </c>
      <c r="B20" s="18">
        <f>D12</f>
        <v/>
      </c>
      <c r="C20" s="18">
        <f>D13</f>
        <v/>
      </c>
      <c r="D20" s="18">
        <f>D14</f>
        <v/>
      </c>
      <c r="E20" s="21">
        <f>D14/D13</f>
        <v/>
      </c>
      <c r="F20" s="20" t="inlineStr">
        <is>
          <t>待公司分部或科目资料确认</t>
        </is>
      </c>
      <c r="G20" s="17" t="inlineStr">
        <is>
          <t>（留空）</t>
        </is>
      </c>
      <c r="H20" s="17" t="inlineStr">
        <is>
          <t>经营简报+一季报</t>
        </is>
      </c>
      <c r="I20" s="17" t="inlineStr">
        <is>
          <t>—</t>
        </is>
      </c>
    </row>
    <row r="22">
      <c r="A22" s="11" t="inlineStr">
        <is>
          <t>备注：绿色字体为Excel公式可点击检查；D列为高精度换算值，F列为按2位小数复算值；所有差额统一标注为待确认状态，归因栏保持留空。</t>
        </is>
      </c>
    </row>
  </sheetData>
  <mergeCells count="8">
    <mergeCell ref="A15:I15"/>
    <mergeCell ref="A2:I2"/>
    <mergeCell ref="A10:I10"/>
    <mergeCell ref="A1:I1"/>
    <mergeCell ref="A17:I17"/>
    <mergeCell ref="A8:I8"/>
    <mergeCell ref="A3:I3"/>
    <mergeCell ref="A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12" customWidth="1" min="4" max="4"/>
    <col width="32" customWidth="1" min="5" max="5"/>
    <col width="8" customWidth="1" min="6" max="6"/>
    <col width="28" customWidth="1" min="7" max="7"/>
    <col width="16" customWidth="1" min="8" max="8"/>
  </cols>
  <sheetData>
    <row r="1" ht="30" customHeight="1">
      <c r="A1" s="1" t="inlineStr">
        <is>
          <t>业务量与单票收入 来源底表及复算检查表</t>
        </is>
      </c>
    </row>
    <row r="2" ht="25" customHeight="1">
      <c r="A2" s="2" t="inlineStr">
        <is>
          <t>说明：速运物流业务的业务量与单票收入核验；单票收入采用收入÷业务量加权复算，分析舍入误差影响</t>
        </is>
      </c>
    </row>
    <row r="3" ht="22" customHeight="1">
      <c r="A3" s="15" t="inlineStr">
        <is>
          <t>一、本期（2026年）—— 来源底表</t>
        </is>
      </c>
    </row>
    <row r="4" ht="40" customHeight="1">
      <c r="A4" s="3" t="inlineStr">
        <is>
          <t>项目</t>
        </is>
      </c>
      <c r="B4" s="3" t="inlineStr">
        <is>
          <t>原始披露值</t>
        </is>
      </c>
      <c r="C4" s="3" t="inlineStr">
        <is>
          <t>单位</t>
        </is>
      </c>
      <c r="D4" s="3" t="inlineStr">
        <is>
          <t>精度</t>
        </is>
      </c>
      <c r="E4" s="3" t="inlineStr">
        <is>
          <t>数据来源文件</t>
        </is>
      </c>
      <c r="F4" s="3" t="inlineStr">
        <is>
          <t>页码</t>
        </is>
      </c>
      <c r="G4" s="3" t="inlineStr">
        <is>
          <t>复算公式</t>
        </is>
      </c>
      <c r="H4" s="3" t="inlineStr">
        <is>
          <t>复算值
（4位小数）</t>
        </is>
      </c>
    </row>
    <row r="5">
      <c r="A5" s="16" t="inlineStr">
        <is>
          <t>【1-2月累计】速运物流业务量</t>
        </is>
      </c>
      <c r="B5" s="17" t="n">
        <v>24.58</v>
      </c>
      <c r="C5" s="17" t="inlineStr">
        <is>
          <t>亿票</t>
        </is>
      </c>
      <c r="D5" s="17" t="inlineStr">
        <is>
          <t>2位小数</t>
        </is>
      </c>
      <c r="E5" s="17" t="inlineStr">
        <is>
          <t>2026年2月快递物流业务经营简报</t>
        </is>
      </c>
      <c r="F5" s="17" t="inlineStr">
        <is>
          <t>第1页</t>
        </is>
      </c>
      <c r="G5" s="17" t="inlineStr">
        <is>
          <t>原始披露值</t>
        </is>
      </c>
      <c r="H5" s="17" t="inlineStr">
        <is>
          <t>—</t>
        </is>
      </c>
    </row>
    <row r="6">
      <c r="A6" s="16" t="inlineStr">
        <is>
          <t>【1-2月累计】速运物流收入</t>
        </is>
      </c>
      <c r="B6" s="17" t="n">
        <v>368.17</v>
      </c>
      <c r="C6" s="17" t="inlineStr">
        <is>
          <t>亿元</t>
        </is>
      </c>
      <c r="D6" s="17" t="inlineStr">
        <is>
          <t>2位小数</t>
        </is>
      </c>
      <c r="E6" s="17" t="inlineStr">
        <is>
          <t>2026年2月快递物流业务经营简报</t>
        </is>
      </c>
      <c r="F6" s="17" t="inlineStr">
        <is>
          <t>第1页</t>
        </is>
      </c>
      <c r="G6" s="17" t="inlineStr">
        <is>
          <t>原始披露值</t>
        </is>
      </c>
      <c r="H6" s="17" t="inlineStr">
        <is>
          <t>—</t>
        </is>
      </c>
    </row>
    <row r="7">
      <c r="A7" s="16" t="inlineStr">
        <is>
          <t>【1-2月累计】单票收入（披露）</t>
        </is>
      </c>
      <c r="B7" s="17" t="n">
        <v>14.98</v>
      </c>
      <c r="C7" s="17" t="inlineStr">
        <is>
          <t>元</t>
        </is>
      </c>
      <c r="D7" s="17" t="inlineStr">
        <is>
          <t>2位小数</t>
        </is>
      </c>
      <c r="E7" s="17" t="inlineStr">
        <is>
          <t>2026年2月快递物流业务经营简报</t>
        </is>
      </c>
      <c r="F7" s="17" t="inlineStr">
        <is>
          <t>第1页</t>
        </is>
      </c>
      <c r="G7" s="17" t="inlineStr">
        <is>
          <t>原始披露值</t>
        </is>
      </c>
      <c r="H7" s="17" t="inlineStr">
        <is>
          <t>—</t>
        </is>
      </c>
    </row>
    <row r="8">
      <c r="A8" s="16" t="inlineStr">
        <is>
          <t>【1-2月累计】单票收入（复算）</t>
        </is>
      </c>
      <c r="B8" s="24">
        <f>B6/B5</f>
        <v/>
      </c>
      <c r="C8" s="17" t="inlineStr">
        <is>
          <t>元</t>
        </is>
      </c>
      <c r="D8" s="17" t="inlineStr">
        <is>
          <t>4位小数</t>
        </is>
      </c>
      <c r="E8" s="17" t="inlineStr">
        <is>
          <t>公式计算</t>
        </is>
      </c>
      <c r="F8" s="17" t="inlineStr">
        <is>
          <t>—</t>
        </is>
      </c>
      <c r="G8" s="17">
        <f>收入÷业务量</f>
        <v/>
      </c>
      <c r="H8" s="18">
        <f>B6/B5</f>
        <v/>
      </c>
    </row>
    <row r="9">
      <c r="A9" s="16" t="inlineStr">
        <is>
          <t>【1-2月累计】舍入差异</t>
        </is>
      </c>
      <c r="B9" s="25">
        <f>B7-B8</f>
        <v/>
      </c>
      <c r="C9" s="17" t="inlineStr">
        <is>
          <t>元</t>
        </is>
      </c>
      <c r="D9" s="17" t="inlineStr">
        <is>
          <t>—</t>
        </is>
      </c>
      <c r="E9" s="17" t="inlineStr">
        <is>
          <t>公式计算</t>
        </is>
      </c>
      <c r="F9" s="17" t="inlineStr">
        <is>
          <t>—</t>
        </is>
      </c>
      <c r="G9" s="17">
        <f>复算值-披露值</f>
        <v/>
      </c>
      <c r="H9" s="18">
        <f>H8-B7</f>
        <v/>
      </c>
    </row>
    <row r="10">
      <c r="A10" s="16" t="inlineStr">
        <is>
          <t>【3月单月】速运物流业务量</t>
        </is>
      </c>
      <c r="B10" s="17" t="n">
        <v>12.51</v>
      </c>
      <c r="C10" s="17" t="inlineStr">
        <is>
          <t>亿票</t>
        </is>
      </c>
      <c r="D10" s="17" t="inlineStr">
        <is>
          <t>2位小数</t>
        </is>
      </c>
      <c r="E10" s="17" t="inlineStr">
        <is>
          <t>2026年3月快递物流业务经营简报</t>
        </is>
      </c>
      <c r="F10" s="17" t="inlineStr">
        <is>
          <t>第1页</t>
        </is>
      </c>
      <c r="G10" s="17" t="inlineStr">
        <is>
          <t>原始披露值</t>
        </is>
      </c>
      <c r="H10" s="17" t="inlineStr">
        <is>
          <t>—</t>
        </is>
      </c>
    </row>
    <row r="11">
      <c r="A11" s="16" t="inlineStr">
        <is>
          <t>【3月单月】速运物流收入</t>
        </is>
      </c>
      <c r="B11" s="17" t="n">
        <v>180.19</v>
      </c>
      <c r="C11" s="17" t="inlineStr">
        <is>
          <t>亿元</t>
        </is>
      </c>
      <c r="D11" s="17" t="inlineStr">
        <is>
          <t>2位小数</t>
        </is>
      </c>
      <c r="E11" s="17" t="inlineStr">
        <is>
          <t>2026年3月快递物流业务经营简报</t>
        </is>
      </c>
      <c r="F11" s="17" t="inlineStr">
        <is>
          <t>第1页</t>
        </is>
      </c>
      <c r="G11" s="17" t="inlineStr">
        <is>
          <t>原始披露值</t>
        </is>
      </c>
      <c r="H11" s="17" t="inlineStr">
        <is>
          <t>—</t>
        </is>
      </c>
    </row>
    <row r="12">
      <c r="A12" s="16" t="inlineStr">
        <is>
          <t>【3月单月】单票收入（披露）</t>
        </is>
      </c>
      <c r="B12" s="17" t="n">
        <v>14.4</v>
      </c>
      <c r="C12" s="17" t="inlineStr">
        <is>
          <t>元</t>
        </is>
      </c>
      <c r="D12" s="17" t="inlineStr">
        <is>
          <t>2位小数</t>
        </is>
      </c>
      <c r="E12" s="17" t="inlineStr">
        <is>
          <t>2026年3月快递物流业务经营简报</t>
        </is>
      </c>
      <c r="F12" s="17" t="inlineStr">
        <is>
          <t>第1页</t>
        </is>
      </c>
      <c r="G12" s="17" t="inlineStr">
        <is>
          <t>原始披露值</t>
        </is>
      </c>
      <c r="H12" s="17" t="inlineStr">
        <is>
          <t>—</t>
        </is>
      </c>
    </row>
    <row r="13">
      <c r="A13" s="16" t="inlineStr">
        <is>
          <t>【3月单月】单票收入（复算）</t>
        </is>
      </c>
      <c r="B13" s="24">
        <f>B11/B10</f>
        <v/>
      </c>
      <c r="C13" s="17" t="inlineStr">
        <is>
          <t>元</t>
        </is>
      </c>
      <c r="D13" s="17" t="inlineStr">
        <is>
          <t>4位小数</t>
        </is>
      </c>
      <c r="E13" s="17" t="inlineStr">
        <is>
          <t>公式计算</t>
        </is>
      </c>
      <c r="F13" s="17" t="inlineStr">
        <is>
          <t>—</t>
        </is>
      </c>
      <c r="G13" s="17">
        <f>收入÷业务量</f>
        <v/>
      </c>
      <c r="H13" s="18">
        <f>B11/B10</f>
        <v/>
      </c>
    </row>
    <row r="14">
      <c r="A14" s="16" t="inlineStr">
        <is>
          <t>【3月单月】舍入差异</t>
        </is>
      </c>
      <c r="B14" s="25">
        <f>B12-B13</f>
        <v/>
      </c>
      <c r="C14" s="17" t="inlineStr">
        <is>
          <t>元</t>
        </is>
      </c>
      <c r="D14" s="17" t="inlineStr">
        <is>
          <t>—</t>
        </is>
      </c>
      <c r="E14" s="17" t="inlineStr">
        <is>
          <t>公式计算</t>
        </is>
      </c>
      <c r="F14" s="17" t="inlineStr">
        <is>
          <t>—</t>
        </is>
      </c>
      <c r="G14" s="17">
        <f>复算值-披露值</f>
        <v/>
      </c>
      <c r="H14" s="18">
        <f>H13-B12</f>
        <v/>
      </c>
    </row>
    <row r="15" ht="22" customHeight="1">
      <c r="A15" s="15" t="inlineStr">
        <is>
          <t>二、本期（2026年）—— 一季度加权复算与舍入影响</t>
        </is>
      </c>
    </row>
    <row r="16">
      <c r="A16" s="16" t="inlineStr">
        <is>
          <t>【一季度】速运物流业务量（累计）</t>
        </is>
      </c>
      <c r="B16" s="18">
        <f>B5+B10</f>
        <v/>
      </c>
      <c r="C16" s="17" t="inlineStr">
        <is>
          <t>亿票</t>
        </is>
      </c>
      <c r="D16" s="17" t="inlineStr">
        <is>
          <t>2位小数</t>
        </is>
      </c>
      <c r="E16" s="17" t="inlineStr">
        <is>
          <t>公式计算</t>
        </is>
      </c>
      <c r="F16" s="17" t="inlineStr">
        <is>
          <t>—</t>
        </is>
      </c>
      <c r="G16" s="17">
        <f>1-2月+3月</f>
        <v/>
      </c>
      <c r="H16" s="17" t="inlineStr">
        <is>
          <t>—</t>
        </is>
      </c>
    </row>
    <row r="17">
      <c r="A17" s="16" t="inlineStr">
        <is>
          <t>【一季度】速运物流收入（累计）</t>
        </is>
      </c>
      <c r="B17" s="18">
        <f>B6+B11</f>
        <v/>
      </c>
      <c r="C17" s="17" t="inlineStr">
        <is>
          <t>亿元</t>
        </is>
      </c>
      <c r="D17" s="17" t="inlineStr">
        <is>
          <t>2位小数</t>
        </is>
      </c>
      <c r="E17" s="17" t="inlineStr">
        <is>
          <t>公式计算</t>
        </is>
      </c>
      <c r="F17" s="17" t="inlineStr">
        <is>
          <t>—</t>
        </is>
      </c>
      <c r="G17" s="17">
        <f>1-2月+3月</f>
        <v/>
      </c>
      <c r="H17" s="17" t="inlineStr">
        <is>
          <t>—</t>
        </is>
      </c>
    </row>
    <row r="18">
      <c r="A18" s="16" t="inlineStr">
        <is>
          <t>【一季度】单票收入（加权复算）</t>
        </is>
      </c>
      <c r="B18" s="24">
        <f>B17/B16</f>
        <v/>
      </c>
      <c r="C18" s="17" t="inlineStr">
        <is>
          <t>元</t>
        </is>
      </c>
      <c r="D18" s="17" t="inlineStr">
        <is>
          <t>4位小数</t>
        </is>
      </c>
      <c r="E18" s="17" t="inlineStr">
        <is>
          <t>公式计算</t>
        </is>
      </c>
      <c r="F18" s="17" t="inlineStr">
        <is>
          <t>—</t>
        </is>
      </c>
      <c r="G18" s="17">
        <f>累计收入÷累计业务量</f>
        <v/>
      </c>
      <c r="H18" s="18">
        <f>B17/B16</f>
        <v/>
      </c>
    </row>
    <row r="19">
      <c r="A19" s="16" t="inlineStr">
        <is>
          <t>【一季度】单票收入（简单平均法）</t>
        </is>
      </c>
      <c r="B19" s="24">
        <f>(B7+B12)/2</f>
        <v/>
      </c>
      <c r="C19" s="17" t="inlineStr">
        <is>
          <t>元</t>
        </is>
      </c>
      <c r="D19" s="17" t="inlineStr">
        <is>
          <t>2位小数</t>
        </is>
      </c>
      <c r="E19" s="17" t="inlineStr">
        <is>
          <t>公式计算</t>
        </is>
      </c>
      <c r="F19" s="17" t="inlineStr">
        <is>
          <t>—</t>
        </is>
      </c>
      <c r="G19" s="17">
        <f>(1-2月+3月)÷2（错误算法）</f>
        <v/>
      </c>
      <c r="H19" s="18">
        <f>(B7+B12)/2</f>
        <v/>
      </c>
    </row>
    <row r="20">
      <c r="A20" s="16" t="inlineStr">
        <is>
          <t>舍入影响：加权vs简单平均差异</t>
        </is>
      </c>
      <c r="B20" s="25">
        <f>B19-B18</f>
        <v/>
      </c>
      <c r="C20" s="17" t="inlineStr">
        <is>
          <t>元</t>
        </is>
      </c>
      <c r="D20" s="17" t="inlineStr">
        <is>
          <t>—</t>
        </is>
      </c>
      <c r="E20" s="17" t="inlineStr">
        <is>
          <t>公式计算</t>
        </is>
      </c>
      <c r="F20" s="17" t="inlineStr">
        <is>
          <t>—</t>
        </is>
      </c>
      <c r="G20" s="17" t="inlineStr">
        <is>
          <t>直接用披露单票简单平均会产生偏差</t>
        </is>
      </c>
      <c r="H20" s="18">
        <f>H18-H19</f>
        <v/>
      </c>
    </row>
    <row r="21" ht="35" customHeight="1">
      <c r="A21" s="22" t="inlineStr">
        <is>
          <t>本期结论：单月单票收入舍入差异极小（±0.004元内）；但一季度若用简单平均法替代加权复算，会产生约0.09元的偏差，主要因1-2月与3月业务量权重不同所致</t>
        </is>
      </c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</row>
    <row r="23" ht="22" customHeight="1">
      <c r="A23" s="15" t="inlineStr">
        <is>
          <t>三、上年同期（2025年）—— 来源底表</t>
        </is>
      </c>
    </row>
    <row r="24" ht="40" customHeight="1">
      <c r="A24" s="3" t="inlineStr">
        <is>
          <t>项目</t>
        </is>
      </c>
      <c r="B24" s="3" t="inlineStr">
        <is>
          <t>原始披露值</t>
        </is>
      </c>
      <c r="C24" s="3" t="inlineStr">
        <is>
          <t>单位</t>
        </is>
      </c>
      <c r="D24" s="3" t="inlineStr">
        <is>
          <t>精度</t>
        </is>
      </c>
      <c r="E24" s="3" t="inlineStr">
        <is>
          <t>数据来源文件</t>
        </is>
      </c>
      <c r="F24" s="3" t="inlineStr">
        <is>
          <t>页码</t>
        </is>
      </c>
      <c r="G24" s="3" t="inlineStr">
        <is>
          <t>复算公式</t>
        </is>
      </c>
      <c r="H24" s="3" t="inlineStr">
        <is>
          <t>复算值
（4位小数）</t>
        </is>
      </c>
    </row>
    <row r="25">
      <c r="A25" s="16" t="inlineStr">
        <is>
          <t>【1-2月累计】速运物流业务量</t>
        </is>
      </c>
      <c r="B25" s="17" t="n">
        <v>22.46</v>
      </c>
      <c r="C25" s="17" t="inlineStr">
        <is>
          <t>亿票</t>
        </is>
      </c>
      <c r="D25" s="17" t="inlineStr">
        <is>
          <t>2位小数</t>
        </is>
      </c>
      <c r="E25" s="17" t="inlineStr">
        <is>
          <t>2026年2月快递物流业务经营简报</t>
        </is>
      </c>
      <c r="F25" s="17" t="inlineStr">
        <is>
          <t>第1页</t>
        </is>
      </c>
      <c r="G25" s="17" t="inlineStr">
        <is>
          <t>原始披露值（同比列）</t>
        </is>
      </c>
      <c r="H25" s="17" t="inlineStr">
        <is>
          <t>—</t>
        </is>
      </c>
    </row>
    <row r="26">
      <c r="A26" s="16" t="inlineStr">
        <is>
          <t>【1-2月累计】速运物流收入</t>
        </is>
      </c>
      <c r="B26" s="17" t="n">
        <v>339.12</v>
      </c>
      <c r="C26" s="17" t="inlineStr">
        <is>
          <t>亿元</t>
        </is>
      </c>
      <c r="D26" s="17" t="inlineStr">
        <is>
          <t>2位小数</t>
        </is>
      </c>
      <c r="E26" s="17" t="inlineStr">
        <is>
          <t>2026年2月快递物流业务经营简报</t>
        </is>
      </c>
      <c r="F26" s="17" t="inlineStr">
        <is>
          <t>第1页</t>
        </is>
      </c>
      <c r="G26" s="17" t="inlineStr">
        <is>
          <t>原始披露值（同比列）</t>
        </is>
      </c>
      <c r="H26" s="17" t="inlineStr">
        <is>
          <t>—</t>
        </is>
      </c>
    </row>
    <row r="27">
      <c r="A27" s="16" t="inlineStr">
        <is>
          <t>【1-2月累计】单票收入（披露）</t>
        </is>
      </c>
      <c r="B27" s="17" t="n">
        <v>15.1</v>
      </c>
      <c r="C27" s="17" t="inlineStr">
        <is>
          <t>元</t>
        </is>
      </c>
      <c r="D27" s="17" t="inlineStr">
        <is>
          <t>2位小数</t>
        </is>
      </c>
      <c r="E27" s="17" t="inlineStr">
        <is>
          <t>2026年2月快递物流业务经营简报</t>
        </is>
      </c>
      <c r="F27" s="17" t="inlineStr">
        <is>
          <t>第1页</t>
        </is>
      </c>
      <c r="G27" s="17" t="inlineStr">
        <is>
          <t>原始披露值（同比列）</t>
        </is>
      </c>
      <c r="H27" s="17" t="inlineStr">
        <is>
          <t>—</t>
        </is>
      </c>
    </row>
    <row r="28">
      <c r="A28" s="16" t="inlineStr">
        <is>
          <t>【1-2月累计】单票收入（复算）</t>
        </is>
      </c>
      <c r="B28" s="24">
        <f>B26/B25</f>
        <v/>
      </c>
      <c r="C28" s="17" t="inlineStr">
        <is>
          <t>元</t>
        </is>
      </c>
      <c r="D28" s="17" t="inlineStr">
        <is>
          <t>4位小数</t>
        </is>
      </c>
      <c r="E28" s="17" t="inlineStr">
        <is>
          <t>公式计算</t>
        </is>
      </c>
      <c r="F28" s="17" t="inlineStr">
        <is>
          <t>—</t>
        </is>
      </c>
      <c r="G28" s="17">
        <f>收入÷业务量</f>
        <v/>
      </c>
      <c r="H28" s="18">
        <f>B26/B25</f>
        <v/>
      </c>
    </row>
    <row r="29">
      <c r="A29" s="16" t="inlineStr">
        <is>
          <t>【1-2月累计】舍入差异</t>
        </is>
      </c>
      <c r="B29" s="25">
        <f>B27-B28</f>
        <v/>
      </c>
      <c r="C29" s="17" t="inlineStr">
        <is>
          <t>元</t>
        </is>
      </c>
      <c r="D29" s="17" t="inlineStr">
        <is>
          <t>—</t>
        </is>
      </c>
      <c r="E29" s="17" t="inlineStr">
        <is>
          <t>公式计算</t>
        </is>
      </c>
      <c r="F29" s="17" t="inlineStr">
        <is>
          <t>—</t>
        </is>
      </c>
      <c r="G29" s="17">
        <f>复算值-披露值</f>
        <v/>
      </c>
      <c r="H29" s="18">
        <f>H28-B27</f>
        <v/>
      </c>
    </row>
    <row r="30">
      <c r="A30" s="16" t="inlineStr">
        <is>
          <t>【3月单月】速运物流业务量</t>
        </is>
      </c>
      <c r="B30" s="17" t="n">
        <v>12.95</v>
      </c>
      <c r="C30" s="17" t="inlineStr">
        <is>
          <t>亿票</t>
        </is>
      </c>
      <c r="D30" s="17" t="inlineStr">
        <is>
          <t>2位小数</t>
        </is>
      </c>
      <c r="E30" s="17" t="inlineStr">
        <is>
          <t>2026年3月快递物流业务经营简报</t>
        </is>
      </c>
      <c r="F30" s="17" t="inlineStr">
        <is>
          <t>第1页</t>
        </is>
      </c>
      <c r="G30" s="17" t="inlineStr">
        <is>
          <t>原始披露值（同比列）</t>
        </is>
      </c>
      <c r="H30" s="17" t="inlineStr">
        <is>
          <t>—</t>
        </is>
      </c>
    </row>
    <row r="31">
      <c r="A31" s="16" t="inlineStr">
        <is>
          <t>【3月单月】速运物流收入</t>
        </is>
      </c>
      <c r="B31" s="17" t="n">
        <v>178.97</v>
      </c>
      <c r="C31" s="17" t="inlineStr">
        <is>
          <t>亿元</t>
        </is>
      </c>
      <c r="D31" s="17" t="inlineStr">
        <is>
          <t>2位小数</t>
        </is>
      </c>
      <c r="E31" s="17" t="inlineStr">
        <is>
          <t>2026年3月快递物流业务经营简报</t>
        </is>
      </c>
      <c r="F31" s="17" t="inlineStr">
        <is>
          <t>第1页</t>
        </is>
      </c>
      <c r="G31" s="17" t="inlineStr">
        <is>
          <t>原始披露值（同比列）</t>
        </is>
      </c>
      <c r="H31" s="17" t="inlineStr">
        <is>
          <t>—</t>
        </is>
      </c>
    </row>
    <row r="32">
      <c r="A32" s="16" t="inlineStr">
        <is>
          <t>【3月单月】单票收入（披露）</t>
        </is>
      </c>
      <c r="B32" s="17" t="n">
        <v>13.82</v>
      </c>
      <c r="C32" s="17" t="inlineStr">
        <is>
          <t>元</t>
        </is>
      </c>
      <c r="D32" s="17" t="inlineStr">
        <is>
          <t>2位小数</t>
        </is>
      </c>
      <c r="E32" s="17" t="inlineStr">
        <is>
          <t>2026年3月快递物流业务经营简报</t>
        </is>
      </c>
      <c r="F32" s="17" t="inlineStr">
        <is>
          <t>第1页</t>
        </is>
      </c>
      <c r="G32" s="17" t="inlineStr">
        <is>
          <t>原始披露值（同比列）</t>
        </is>
      </c>
      <c r="H32" s="17" t="inlineStr">
        <is>
          <t>—</t>
        </is>
      </c>
    </row>
    <row r="33">
      <c r="A33" s="16" t="inlineStr">
        <is>
          <t>【3月单月】单票收入（复算）</t>
        </is>
      </c>
      <c r="B33" s="24">
        <f>B31/B30</f>
        <v/>
      </c>
      <c r="C33" s="17" t="inlineStr">
        <is>
          <t>元</t>
        </is>
      </c>
      <c r="D33" s="17" t="inlineStr">
        <is>
          <t>4位小数</t>
        </is>
      </c>
      <c r="E33" s="17" t="inlineStr">
        <is>
          <t>公式计算</t>
        </is>
      </c>
      <c r="F33" s="17" t="inlineStr">
        <is>
          <t>—</t>
        </is>
      </c>
      <c r="G33" s="17">
        <f>收入÷业务量</f>
        <v/>
      </c>
      <c r="H33" s="18">
        <f>B31/B30</f>
        <v/>
      </c>
    </row>
    <row r="34">
      <c r="A34" s="16" t="inlineStr">
        <is>
          <t>【3月单月】舍入差异</t>
        </is>
      </c>
      <c r="B34" s="25">
        <f>B32-B33</f>
        <v/>
      </c>
      <c r="C34" s="17" t="inlineStr">
        <is>
          <t>元</t>
        </is>
      </c>
      <c r="D34" s="17" t="inlineStr">
        <is>
          <t>—</t>
        </is>
      </c>
      <c r="E34" s="17" t="inlineStr">
        <is>
          <t>公式计算</t>
        </is>
      </c>
      <c r="F34" s="17" t="inlineStr">
        <is>
          <t>—</t>
        </is>
      </c>
      <c r="G34" s="17">
        <f>复算值-披露值</f>
        <v/>
      </c>
      <c r="H34" s="18">
        <f>H33-B32</f>
        <v/>
      </c>
    </row>
    <row r="35" ht="22" customHeight="1">
      <c r="A35" s="15" t="inlineStr">
        <is>
          <t>四、上年同期（2025年）—— 一季度加权复算与舍入影响</t>
        </is>
      </c>
    </row>
    <row r="36">
      <c r="A36" s="16" t="inlineStr">
        <is>
          <t>【一季度】速运物流业务量（累计）</t>
        </is>
      </c>
      <c r="B36" s="18">
        <f>B25+B30</f>
        <v/>
      </c>
      <c r="C36" s="17" t="inlineStr">
        <is>
          <t>亿票</t>
        </is>
      </c>
      <c r="D36" s="17" t="inlineStr">
        <is>
          <t>2位小数</t>
        </is>
      </c>
      <c r="E36" s="17" t="inlineStr">
        <is>
          <t>公式计算</t>
        </is>
      </c>
      <c r="F36" s="17" t="inlineStr">
        <is>
          <t>—</t>
        </is>
      </c>
      <c r="G36" s="17">
        <f>1-2月+3月</f>
        <v/>
      </c>
      <c r="H36" s="17" t="inlineStr">
        <is>
          <t>—</t>
        </is>
      </c>
    </row>
    <row r="37">
      <c r="A37" s="16" t="inlineStr">
        <is>
          <t>【一季度】速运物流收入（累计）</t>
        </is>
      </c>
      <c r="B37" s="18">
        <f>B26+B31</f>
        <v/>
      </c>
      <c r="C37" s="17" t="inlineStr">
        <is>
          <t>亿元</t>
        </is>
      </c>
      <c r="D37" s="17" t="inlineStr">
        <is>
          <t>2位小数</t>
        </is>
      </c>
      <c r="E37" s="17" t="inlineStr">
        <is>
          <t>公式计算</t>
        </is>
      </c>
      <c r="F37" s="17" t="inlineStr">
        <is>
          <t>—</t>
        </is>
      </c>
      <c r="G37" s="17">
        <f>1-2月+3月</f>
        <v/>
      </c>
      <c r="H37" s="17" t="inlineStr">
        <is>
          <t>—</t>
        </is>
      </c>
    </row>
    <row r="38">
      <c r="A38" s="16" t="inlineStr">
        <is>
          <t>【一季度】单票收入（加权复算）</t>
        </is>
      </c>
      <c r="B38" s="24">
        <f>B37/B36</f>
        <v/>
      </c>
      <c r="C38" s="17" t="inlineStr">
        <is>
          <t>元</t>
        </is>
      </c>
      <c r="D38" s="17" t="inlineStr">
        <is>
          <t>4位小数</t>
        </is>
      </c>
      <c r="E38" s="17" t="inlineStr">
        <is>
          <t>公式计算</t>
        </is>
      </c>
      <c r="F38" s="17" t="inlineStr">
        <is>
          <t>—</t>
        </is>
      </c>
      <c r="G38" s="17">
        <f>累计收入÷累计业务量</f>
        <v/>
      </c>
      <c r="H38" s="18">
        <f>B37/B36</f>
        <v/>
      </c>
    </row>
    <row r="39">
      <c r="A39" s="16" t="inlineStr">
        <is>
          <t>【一季度】单票收入（简单平均法）</t>
        </is>
      </c>
      <c r="B39" s="24">
        <f>(B27+B32)/2</f>
        <v/>
      </c>
      <c r="C39" s="17" t="inlineStr">
        <is>
          <t>元</t>
        </is>
      </c>
      <c r="D39" s="17" t="inlineStr">
        <is>
          <t>2位小数</t>
        </is>
      </c>
      <c r="E39" s="17" t="inlineStr">
        <is>
          <t>公式计算</t>
        </is>
      </c>
      <c r="F39" s="17" t="inlineStr">
        <is>
          <t>—</t>
        </is>
      </c>
      <c r="G39" s="17">
        <f>(1-2月+3月)÷2（错误算法）</f>
        <v/>
      </c>
      <c r="H39" s="18">
        <f>(B27+B32)/2</f>
        <v/>
      </c>
    </row>
    <row r="40">
      <c r="A40" s="16" t="inlineStr">
        <is>
          <t>舍入影响：加权vs简单平均差异</t>
        </is>
      </c>
      <c r="B40" s="25">
        <f>B39-B38</f>
        <v/>
      </c>
      <c r="C40" s="17" t="inlineStr">
        <is>
          <t>元</t>
        </is>
      </c>
      <c r="D40" s="17" t="inlineStr">
        <is>
          <t>—</t>
        </is>
      </c>
      <c r="E40" s="17" t="inlineStr">
        <is>
          <t>公式计算</t>
        </is>
      </c>
      <c r="F40" s="17" t="inlineStr">
        <is>
          <t>—</t>
        </is>
      </c>
      <c r="G40" s="17" t="inlineStr">
        <is>
          <t>直接用披露单票简单平均会产生偏差</t>
        </is>
      </c>
      <c r="H40" s="18">
        <f>H38-H39</f>
        <v/>
      </c>
    </row>
    <row r="41" ht="35" customHeight="1">
      <c r="A41" s="22" t="inlineStr">
        <is>
          <t>上年同期结论：单月单票收入舍入差异极小（±0.002元内）；但一季度若用简单平均法替代加权复算，会产生约0.17元的偏差，主要因1-2月与3月业务量权重差异更大所致</t>
        </is>
      </c>
    </row>
    <row r="43">
      <c r="A43" s="11" t="inlineStr">
        <is>
          <t>备注：绿色字体为Excel公式可点击检查；供应链及国际业务不披露业务量与单票收入，故仅核验速运物流业务；一季度单票收入必须采用加权法复算，简单平均会因业务量权重不同产生显著偏差。</t>
        </is>
      </c>
    </row>
    <row r="45" ht="22" customHeight="1">
      <c r="A45" s="15" t="inlineStr">
        <is>
          <t>五、方法偏差与披露舍入不确定性 拆分核定</t>
        </is>
      </c>
    </row>
    <row r="46" ht="22" customHeight="1">
      <c r="A46" s="23" t="inlineStr">
        <is>
          <t>5.1 方法偏差：简单平均法 vs 加权复算法</t>
        </is>
      </c>
    </row>
    <row r="47" ht="30" customHeight="1">
      <c r="A47" s="3" t="inlineStr">
        <is>
          <t>指标</t>
        </is>
      </c>
      <c r="B47" s="3" t="inlineStr">
        <is>
          <t>本期（2026Q1）</t>
        </is>
      </c>
      <c r="C47" s="3" t="inlineStr">
        <is>
          <t>上年同期（2025Q1）</t>
        </is>
      </c>
      <c r="D47" s="3" t="inlineStr">
        <is>
          <t>计算公式</t>
        </is>
      </c>
      <c r="E47" s="3" t="inlineStr">
        <is>
          <t>偏差说明</t>
        </is>
      </c>
    </row>
    <row r="48">
      <c r="A48" s="16" t="inlineStr">
        <is>
          <t>加权复算单票收入（基准）</t>
        </is>
      </c>
      <c r="B48" s="24">
        <f>(B6+B11)/(B5+B10)</f>
        <v/>
      </c>
      <c r="C48" s="24">
        <f>(B26+B31)/(B25+B30)</f>
        <v/>
      </c>
      <c r="D48" s="17" t="inlineStr">
        <is>
          <t>累计收入÷累计业务量</t>
        </is>
      </c>
      <c r="E48" s="17" t="inlineStr">
        <is>
          <t>正确算法，作为基准</t>
        </is>
      </c>
    </row>
    <row r="49">
      <c r="A49" s="16" t="inlineStr">
        <is>
          <t>简单平均单票收入</t>
        </is>
      </c>
      <c r="B49" s="24">
        <f>(B7+B12)/2</f>
        <v/>
      </c>
      <c r="C49" s="24">
        <f>(B27+B32)/2</f>
        <v/>
      </c>
      <c r="D49" s="17">
        <f>(1-2月单票+3月单票)÷2</f>
        <v/>
      </c>
      <c r="E49" s="17" t="inlineStr">
        <is>
          <t>错误算法，未考虑业务量权重</t>
        </is>
      </c>
    </row>
    <row r="50">
      <c r="A50" s="16" t="inlineStr">
        <is>
          <t>方法偏差（绝对值，元）</t>
        </is>
      </c>
      <c r="B50" s="25">
        <f>B49-B48</f>
        <v/>
      </c>
      <c r="C50" s="25">
        <f>C49-C48</f>
        <v/>
      </c>
      <c r="D50" s="17" t="inlineStr">
        <is>
          <t>简单平均 - 加权复算</t>
        </is>
      </c>
      <c r="E50" s="17" t="inlineStr">
        <is>
          <t>负值表示简单平均低估</t>
        </is>
      </c>
    </row>
    <row r="51">
      <c r="A51" s="16" t="inlineStr">
        <is>
          <t>方法偏差（相对比例）</t>
        </is>
      </c>
      <c r="B51" s="26">
        <f>(B49-B48)/B48</f>
        <v/>
      </c>
      <c r="C51" s="26">
        <f>(C49-C48)/C48</f>
        <v/>
      </c>
      <c r="D51" s="17" t="inlineStr">
        <is>
          <t>偏差÷加权复算值</t>
        </is>
      </c>
      <c r="E51" s="17" t="inlineStr">
        <is>
          <t>相对偏差幅度</t>
        </is>
      </c>
    </row>
    <row r="53" ht="22" customHeight="1">
      <c r="A53" s="23" t="inlineStr">
        <is>
          <t>5.2 披露舍入不确定性：基于原披露精度的区间推导</t>
        </is>
      </c>
    </row>
    <row r="54" ht="22" customHeight="1">
      <c r="A54" s="11" t="inlineStr">
        <is>
          <t>精度假设：收入和业务量均披露2位小数，四舍五入半宽=±0.005；相对不确定性统一按单边影响÷加权基准计算</t>
        </is>
      </c>
    </row>
    <row r="55" ht="30" customHeight="1">
      <c r="A55" s="3" t="inlineStr">
        <is>
          <t>指标</t>
        </is>
      </c>
      <c r="B55" s="3" t="inlineStr">
        <is>
          <t>本期（2026Q1）</t>
        </is>
      </c>
      <c r="C55" s="3" t="inlineStr">
        <is>
          <t>上年同期（2025Q1）</t>
        </is>
      </c>
      <c r="D55" s="3" t="inlineStr">
        <is>
          <t>计算公式</t>
        </is>
      </c>
      <c r="E55" s="3" t="inlineStr">
        <is>
          <t>说明</t>
        </is>
      </c>
    </row>
    <row r="56">
      <c r="A56" s="16" t="inlineStr">
        <is>
          <t>累计收入下限（亿元）</t>
        </is>
      </c>
      <c r="B56" s="18">
        <f>(B6-0.005)+(B11-0.005)</f>
        <v/>
      </c>
      <c r="C56" s="18">
        <f>(B26-0.005)+(B31-0.005)</f>
        <v/>
      </c>
      <c r="D56" s="17" t="inlineStr">
        <is>
          <t>各期收入-0.005后累加</t>
        </is>
      </c>
      <c r="E56" s="17" t="inlineStr">
        <is>
          <t>最小可能值</t>
        </is>
      </c>
    </row>
    <row r="57">
      <c r="A57" s="16" t="inlineStr">
        <is>
          <t>累计收入上限（亿元）</t>
        </is>
      </c>
      <c r="B57" s="18">
        <f>(B6+0.005)+(B11+0.005)</f>
        <v/>
      </c>
      <c r="C57" s="18">
        <f>(B26+0.005)+(B31+0.005)</f>
        <v/>
      </c>
      <c r="D57" s="17" t="inlineStr">
        <is>
          <t>各期收入+0.005后累加</t>
        </is>
      </c>
      <c r="E57" s="17" t="inlineStr">
        <is>
          <t>最大可能值</t>
        </is>
      </c>
    </row>
    <row r="58">
      <c r="A58" s="16" t="inlineStr">
        <is>
          <t>累计业务量下限（亿票）</t>
        </is>
      </c>
      <c r="B58" s="18">
        <f>(B5-0.005)+(B10-0.005)</f>
        <v/>
      </c>
      <c r="C58" s="18">
        <f>(B25-0.005)+(B30-0.005)</f>
        <v/>
      </c>
      <c r="D58" s="17" t="inlineStr">
        <is>
          <t>各期业务量-0.005后累加</t>
        </is>
      </c>
      <c r="E58" s="17" t="inlineStr">
        <is>
          <t>最小可能值</t>
        </is>
      </c>
    </row>
    <row r="59">
      <c r="A59" s="16" t="inlineStr">
        <is>
          <t>累计业务量上限（亿票）</t>
        </is>
      </c>
      <c r="B59" s="18">
        <f>(B5+0.005)+(B10+0.005)</f>
        <v/>
      </c>
      <c r="C59" s="18">
        <f>(B25+0.005)+(B30+0.005)</f>
        <v/>
      </c>
      <c r="D59" s="17" t="inlineStr">
        <is>
          <t>各期业务量+0.005后累加</t>
        </is>
      </c>
      <c r="E59" s="17" t="inlineStr">
        <is>
          <t>最大可能值</t>
        </is>
      </c>
    </row>
    <row r="60">
      <c r="A60" s="16" t="inlineStr">
        <is>
          <t>单票收入下限（元）</t>
        </is>
      </c>
      <c r="B60" s="24">
        <f>B56/B59</f>
        <v/>
      </c>
      <c r="C60" s="24">
        <f>C56/C59</f>
        <v/>
      </c>
      <c r="D60" s="17" t="inlineStr">
        <is>
          <t>最小收入÷最大业务量</t>
        </is>
      </c>
      <c r="E60" s="17" t="inlineStr">
        <is>
          <t>最保守下限</t>
        </is>
      </c>
    </row>
    <row r="61">
      <c r="A61" s="16" t="inlineStr">
        <is>
          <t>单票收入上限（元）</t>
        </is>
      </c>
      <c r="B61" s="24">
        <f>B57/B58</f>
        <v/>
      </c>
      <c r="C61" s="24">
        <f>C57/C58</f>
        <v/>
      </c>
      <c r="D61" s="17" t="inlineStr">
        <is>
          <t>最大收入÷最小业务量</t>
        </is>
      </c>
      <c r="E61" s="17" t="inlineStr">
        <is>
          <t>最乐观上限</t>
        </is>
      </c>
    </row>
    <row r="62">
      <c r="A62" s="16" t="inlineStr">
        <is>
          <t>单票收入区间总宽度（元）</t>
        </is>
      </c>
      <c r="B62" s="24">
        <f>B61-B60</f>
        <v/>
      </c>
      <c r="C62" s="24">
        <f>C61-C60</f>
        <v/>
      </c>
      <c r="D62" s="17" t="inlineStr">
        <is>
          <t>上限-下限</t>
        </is>
      </c>
      <c r="E62" s="17" t="inlineStr">
        <is>
          <t>总不确定性范围</t>
        </is>
      </c>
    </row>
    <row r="63">
      <c r="A63" s="30" t="inlineStr">
        <is>
          <t>下侧偏差（基准-下限）</t>
        </is>
      </c>
      <c r="B63" s="31">
        <f>B48-B60</f>
        <v/>
      </c>
      <c r="C63" s="31">
        <f>C48-C60</f>
        <v/>
      </c>
      <c r="D63" s="32" t="inlineStr">
        <is>
          <t>加权基准 - 单票下限</t>
        </is>
      </c>
      <c r="E63" s="32" t="inlineStr">
        <is>
          <t>向下偏离幅度</t>
        </is>
      </c>
    </row>
    <row r="64">
      <c r="A64" s="30" t="inlineStr">
        <is>
          <t>上侧偏差（上限-基准）</t>
        </is>
      </c>
      <c r="B64" s="31">
        <f>B61-B48</f>
        <v/>
      </c>
      <c r="C64" s="31">
        <f>C61-C48</f>
        <v/>
      </c>
      <c r="D64" s="32" t="inlineStr">
        <is>
          <t>单票上限 - 加权基准</t>
        </is>
      </c>
      <c r="E64" s="32" t="inlineStr">
        <is>
          <t>向上偏离幅度</t>
        </is>
      </c>
    </row>
    <row r="65">
      <c r="A65" s="16" t="inlineStr">
        <is>
          <t>最大单边舍入影响（取大）</t>
        </is>
      </c>
      <c r="B65" s="24">
        <f>MAX(B63,B64)</f>
        <v/>
      </c>
      <c r="C65" s="24">
        <f>MAX(C63,C64)</f>
        <v/>
      </c>
      <c r="D65" s="17">
        <f>MAX(下侧偏差,上侧偏差)</f>
        <v/>
      </c>
      <c r="E65" s="17" t="inlineStr">
        <is>
          <t>取上下两侧中较大值</t>
        </is>
      </c>
    </row>
    <row r="66" ht="22" customHeight="1">
      <c r="A66" s="30" t="inlineStr">
        <is>
          <t>相对舍入不确定性（单边÷基准）</t>
        </is>
      </c>
      <c r="B66" s="35">
        <f>B65/B48</f>
        <v/>
      </c>
      <c r="C66" s="35">
        <f>C65/C48</f>
        <v/>
      </c>
      <c r="D66" s="32" t="inlineStr">
        <is>
          <t>最大单边影响÷加权基准</t>
        </is>
      </c>
      <c r="E66" s="32" t="inlineStr">
        <is>
          <t>统一口径：单边÷基准</t>
        </is>
      </c>
    </row>
    <row r="67" ht="30" customHeight="1"/>
    <row r="68">
      <c r="A68" s="23" t="inlineStr">
        <is>
          <t>5.3 两类偏差对比与结论</t>
        </is>
      </c>
    </row>
    <row r="69">
      <c r="A69" s="3" t="inlineStr">
        <is>
          <t>对比维度</t>
        </is>
      </c>
      <c r="B69" s="3" t="inlineStr">
        <is>
          <t>本期（2026Q1）</t>
        </is>
      </c>
      <c r="C69" s="3" t="inlineStr">
        <is>
          <t>上年同期（2025Q1）</t>
        </is>
      </c>
      <c r="D69" s="3" t="inlineStr">
        <is>
          <t>说明</t>
        </is>
      </c>
    </row>
    <row r="70">
      <c r="A70" s="16" t="inlineStr">
        <is>
          <t>方法偏差绝对值（元）</t>
        </is>
      </c>
      <c r="B70" s="24">
        <f>ABS(B50)</f>
        <v/>
      </c>
      <c r="C70" s="24">
        <f>ABS(C50)</f>
        <v/>
      </c>
      <c r="D70" s="17" t="inlineStr">
        <is>
          <t>简单平均法带来的偏差</t>
        </is>
      </c>
    </row>
    <row r="71">
      <c r="A71" s="16" t="inlineStr">
        <is>
          <t>舍入不确定性（单边，元）</t>
        </is>
      </c>
      <c r="B71" s="24">
        <f>B65</f>
        <v/>
      </c>
      <c r="C71" s="24">
        <f>C65</f>
        <v/>
      </c>
      <c r="D71" s="17" t="inlineStr">
        <is>
          <t>披露精度带来的不确定性</t>
        </is>
      </c>
    </row>
    <row r="72" ht="55" customHeight="1">
      <c r="A72" s="30" t="inlineStr">
        <is>
          <t>方法偏差 / 舍入不确定性（倍数）</t>
        </is>
      </c>
      <c r="B72" s="36">
        <f>ABS(B50)/B65</f>
        <v/>
      </c>
      <c r="C72" s="36">
        <f>ABS(C50)/C65</f>
        <v/>
      </c>
      <c r="D72" s="32" t="inlineStr">
        <is>
          <t>方法偏差÷单边舍入不确定性</t>
        </is>
      </c>
      <c r="E72" s="32" t="n"/>
    </row>
    <row r="74">
      <c r="A74" s="22" t="inlineStr">
        <is>
          <t>结论：①方法偏差（简单平均vs加权）是季度单票收入偏差的主要来源，本期约-0.095元、上年同期约-0.171元，因1-2月与3月业务量权重差异导致；②披露舍入不确定性约±0.004元（取上下侧较大值），相对占比约0.03%，影响极小；③方法偏差是舍入不确定性的22~39倍，季度单票收入必须采用加权复算法。</t>
        </is>
      </c>
    </row>
    <row r="75" ht="22" customHeight="1"/>
    <row r="76" ht="22" customHeight="1"/>
    <row r="77" ht="30" customHeight="1"/>
    <row r="83" ht="22" customHeight="1"/>
    <row r="84" ht="22" customHeight="1"/>
    <row r="85" ht="30" customHeight="1"/>
    <row r="96" ht="22" customHeight="1"/>
    <row r="97" ht="30" customHeight="1"/>
    <row r="102" ht="55" customHeight="1"/>
  </sheetData>
  <mergeCells count="19">
    <mergeCell ref="A83:E83"/>
    <mergeCell ref="A15:H15"/>
    <mergeCell ref="A45:H45"/>
    <mergeCell ref="A1:H1"/>
    <mergeCell ref="A54:H54"/>
    <mergeCell ref="A41:H41"/>
    <mergeCell ref="A75:E75"/>
    <mergeCell ref="A84:E84"/>
    <mergeCell ref="A46:H46"/>
    <mergeCell ref="A3:H3"/>
    <mergeCell ref="A21:H21"/>
    <mergeCell ref="A2:H2"/>
    <mergeCell ref="A76:E76"/>
    <mergeCell ref="A23:H23"/>
    <mergeCell ref="A53:H53"/>
    <mergeCell ref="A35:H35"/>
    <mergeCell ref="A96:E96"/>
    <mergeCell ref="A43:H43"/>
    <mergeCell ref="A102:E10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70" customWidth="1" min="4" max="4"/>
  </cols>
  <sheetData>
    <row r="1" ht="30" customHeight="1">
      <c r="A1" s="1" t="inlineStr">
        <is>
          <t>13.76亿元差额归因证据核查表</t>
        </is>
      </c>
    </row>
    <row r="2" ht="30" customHeight="1">
      <c r="A2" s="12" t="inlineStr">
        <is>
          <t>核查结论：现有三份材料证据不足，无法将13.76亿元差额直接归因为"其他非物流业务收入"，统一标为待公司分部或科目资料确认</t>
        </is>
      </c>
    </row>
    <row r="3" ht="25" customHeight="1">
      <c r="A3" s="3" t="inlineStr">
        <is>
          <t>证据类别</t>
        </is>
      </c>
      <c r="B3" s="3" t="inlineStr">
        <is>
          <t>文件名</t>
        </is>
      </c>
      <c r="C3" s="3" t="inlineStr">
        <is>
          <t>页码</t>
        </is>
      </c>
      <c r="D3" s="3" t="inlineStr">
        <is>
          <t>披露原文</t>
        </is>
      </c>
    </row>
    <row r="4" ht="55" customHeight="1">
      <c r="A4" s="4" t="inlineStr">
        <is>
          <t>一、支持性证据（间接）</t>
        </is>
      </c>
      <c r="B4" s="13" t="inlineStr">
        <is>
          <t>顺丰控股2026年2月快递物流业务经营简报.pdf</t>
        </is>
      </c>
      <c r="C4" s="13" t="inlineStr">
        <is>
          <t>第2页 注释3</t>
        </is>
      </c>
      <c r="D4" s="13" t="inlineStr">
        <is>
          <t>原文："3、以上收入不含公司其他非物流业务收入。"
说明：经营简报明确自身统计范围不含其他非物流业务收入</t>
        </is>
      </c>
    </row>
    <row r="5" ht="55" customHeight="1">
      <c r="A5" s="8" t="n"/>
      <c r="B5" s="13" t="inlineStr">
        <is>
          <t>顺丰控股2026年3月快递物流业务经营简报.pdf</t>
        </is>
      </c>
      <c r="C5" s="13" t="inlineStr">
        <is>
          <t>第1页 注释3</t>
        </is>
      </c>
      <c r="D5" s="13" t="inlineStr">
        <is>
          <t>原文："3、以上收入不含公司其他非物流业务收入。"
说明：经营简报明确自身统计范围不含其他非物流业务收入</t>
        </is>
      </c>
    </row>
    <row r="6" ht="55" customHeight="1">
      <c r="A6" s="4" t="inlineStr">
        <is>
          <t>二、限制性证据（证据不足）</t>
        </is>
      </c>
      <c r="B6" s="13" t="inlineStr">
        <is>
          <t>顺丰控股2026年2月快递物流业务经营简报.pdf</t>
        </is>
      </c>
      <c r="C6" s="13" t="inlineStr">
        <is>
          <t>第2页</t>
        </is>
      </c>
      <c r="D6" s="13" t="inlineStr">
        <is>
          <t>原文："上述数据未经审计，与定期报告数据可能存在差异，仅供投资者阶段性参考，相关数据以公司定期报告为准。"
说明：差额可能还包含口径调整因素，不全是"其他非物流业务"</t>
        </is>
      </c>
    </row>
    <row r="7" ht="55" customHeight="1">
      <c r="A7" s="7" t="n"/>
      <c r="B7" s="13" t="inlineStr">
        <is>
          <t>顺丰控股2026年3月快递物流业务经营简报.pdf</t>
        </is>
      </c>
      <c r="C7" s="13" t="inlineStr">
        <is>
          <t>第2页</t>
        </is>
      </c>
      <c r="D7" s="13" t="inlineStr">
        <is>
          <t>原文："上述数据未经审计，与定期报告数据可能存在差异，仅供投资者阶段性参考，相关数据以公司定期报告为准。"
说明：差额可能还包含口径调整因素，不全是"其他非物流业务"</t>
        </is>
      </c>
    </row>
    <row r="8" ht="55" customHeight="1">
      <c r="A8" s="7" t="n"/>
      <c r="B8" s="13" t="inlineStr">
        <is>
          <t>顺丰控股2026年第一季度报告.pdf</t>
        </is>
      </c>
      <c r="C8" s="13" t="inlineStr">
        <is>
          <t>第2页、第14页</t>
        </is>
      </c>
      <c r="D8" s="13" t="inlineStr">
        <is>
          <t>原文：利润表仅披露"营业总收入"74,142,121千元一个汇总数
说明：一季报未披露分部收入明细，无"其他非物流业务收入"科目金额可交叉验证</t>
        </is>
      </c>
    </row>
    <row r="9" ht="55" customHeight="1">
      <c r="A9" s="7" t="n"/>
      <c r="B9" s="13" t="inlineStr">
        <is>
          <t>顺丰控股2026年第一季度报告.pdf</t>
        </is>
      </c>
      <c r="C9" s="13" t="inlineStr">
        <is>
          <t>第4页</t>
        </is>
      </c>
      <c r="D9" s="13" t="inlineStr">
        <is>
          <t>原文："在细分业务板块收入方面，公司速运物流业务收入同比增长5.9%...供应链及国际业务收入同比增长8.2%"
说明：仅披露同比增速，未披露业务板块收入绝对值，无法验证差额构成</t>
        </is>
      </c>
    </row>
    <row r="10" ht="55" customHeight="1">
      <c r="A10" s="8" t="n"/>
      <c r="B10" s="13" t="inlineStr">
        <is>
          <t>三份材料均无</t>
        </is>
      </c>
      <c r="C10" s="13" t="inlineStr">
        <is>
          <t>—</t>
        </is>
      </c>
      <c r="D10" s="13" t="inlineStr">
        <is>
          <t>说明：三份材料中均未给出明确勾稽公式：营业总收入 = 速运物流收入 + 供应链及国际收入 + 其他非物流业务收入</t>
        </is>
      </c>
    </row>
    <row r="12" ht="40" customHeight="1">
      <c r="A12" s="11" t="inlineStr">
        <is>
          <t>最终判定：证据不足。经营简报仅声明"自身不含非物流收入"，但未证明"总营收与物流收入的差额就等于非物流收入"；且经营简报明确提示与定期报告数据可能存在差异。差额归因需等待公司分部报告或年报科目明细资料。</t>
        </is>
      </c>
    </row>
  </sheetData>
  <mergeCells count="5">
    <mergeCell ref="A1:D1"/>
    <mergeCell ref="A4:A5"/>
    <mergeCell ref="A12:D12"/>
    <mergeCell ref="A2:D2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2026-07-18T14:27:22Z</dcterms:created>
  <dcterms:modified xmlns:dcterms="http://purl.org/dc/terms/" xmlns:xsi="http://www.w3.org/2001/XMLSchema-instance" xsi:type="dcterms:W3CDTF">2026-07-18T15:10:24Z</dcterms:modified>
</cp:coreProperties>
</file>